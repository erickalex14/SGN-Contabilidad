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SUS\Desktop\NOVICOMPU 2026\28 FORMATOS\GASTOS CAJA CHICA\"/>
    </mc:Choice>
  </mc:AlternateContent>
  <xr:revisionPtr revIDLastSave="0" documentId="13_ncr:1_{DF8DF265-DE6D-4D60-A3EF-05D2EFD02FE6}" xr6:coauthVersionLast="47" xr6:coauthVersionMax="47" xr10:uidLastSave="{00000000-0000-0000-0000-000000000000}"/>
  <bookViews>
    <workbookView xWindow="-108" yWindow="-108" windowWidth="23256" windowHeight="12456" activeTab="3" xr2:uid="{00000000-000D-0000-FFFF-FFFF00000000}"/>
  </bookViews>
  <sheets>
    <sheet name="PREMISAS DE LLENADO" sheetId="4" r:id="rId1"/>
    <sheet name="TIPO_GASTO" sheetId="2" state="hidden" r:id="rId2"/>
    <sheet name="PENALIDADES" sheetId="6" r:id="rId3"/>
    <sheet name="INFORME_CAJA_CHICA" sheetId="3" r:id="rId4"/>
    <sheet name="CENTRO_COSTO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9" i="3" l="1"/>
  <c r="H39" i="3"/>
  <c r="G39" i="3"/>
  <c r="J37" i="3"/>
  <c r="I37" i="3"/>
  <c r="A37" i="3"/>
  <c r="J36" i="3"/>
  <c r="I36" i="3"/>
  <c r="A36" i="3"/>
  <c r="J35" i="3"/>
  <c r="I35" i="3"/>
  <c r="A35" i="3"/>
  <c r="J34" i="3"/>
  <c r="I34" i="3"/>
  <c r="A34" i="3"/>
  <c r="J33" i="3"/>
  <c r="I33" i="3"/>
  <c r="A33" i="3"/>
  <c r="J32" i="3"/>
  <c r="I32" i="3"/>
  <c r="A32" i="3"/>
  <c r="J31" i="3"/>
  <c r="I31" i="3"/>
  <c r="A31" i="3"/>
  <c r="J30" i="3"/>
  <c r="I30" i="3"/>
  <c r="A30" i="3"/>
  <c r="J29" i="3"/>
  <c r="I29" i="3"/>
  <c r="A29" i="3"/>
  <c r="P28" i="3"/>
  <c r="O28" i="3"/>
  <c r="N28" i="3"/>
  <c r="M28" i="3"/>
  <c r="J28" i="3"/>
  <c r="I28" i="3"/>
  <c r="A28" i="3"/>
  <c r="P27" i="3"/>
  <c r="O27" i="3"/>
  <c r="N27" i="3"/>
  <c r="M27" i="3"/>
  <c r="J27" i="3"/>
  <c r="I27" i="3"/>
  <c r="A27" i="3"/>
  <c r="P26" i="3"/>
  <c r="O26" i="3"/>
  <c r="N26" i="3"/>
  <c r="M26" i="3"/>
  <c r="J26" i="3"/>
  <c r="I26" i="3"/>
  <c r="A26" i="3"/>
  <c r="P25" i="3"/>
  <c r="O25" i="3"/>
  <c r="N25" i="3"/>
  <c r="M25" i="3"/>
  <c r="J25" i="3"/>
  <c r="I25" i="3"/>
  <c r="A25" i="3"/>
  <c r="P24" i="3"/>
  <c r="O24" i="3"/>
  <c r="N24" i="3"/>
  <c r="M24" i="3"/>
  <c r="J24" i="3"/>
  <c r="I24" i="3"/>
  <c r="A24" i="3"/>
  <c r="P23" i="3"/>
  <c r="O23" i="3"/>
  <c r="N23" i="3"/>
  <c r="M23" i="3"/>
  <c r="J23" i="3"/>
  <c r="I23" i="3"/>
  <c r="A23" i="3"/>
  <c r="P22" i="3"/>
  <c r="O22" i="3"/>
  <c r="N22" i="3"/>
  <c r="M22" i="3"/>
  <c r="J22" i="3"/>
  <c r="I22" i="3"/>
  <c r="A22" i="3"/>
  <c r="P21" i="3"/>
  <c r="O21" i="3"/>
  <c r="N21" i="3"/>
  <c r="M21" i="3"/>
  <c r="J21" i="3"/>
  <c r="I21" i="3"/>
  <c r="A21" i="3"/>
  <c r="P20" i="3"/>
  <c r="O20" i="3"/>
  <c r="N20" i="3"/>
  <c r="M20" i="3"/>
  <c r="J20" i="3"/>
  <c r="I20" i="3"/>
  <c r="A20" i="3"/>
  <c r="P19" i="3"/>
  <c r="O19" i="3"/>
  <c r="N19" i="3"/>
  <c r="M19" i="3"/>
  <c r="J19" i="3"/>
  <c r="I19" i="3"/>
  <c r="A19" i="3"/>
  <c r="P18" i="3"/>
  <c r="O18" i="3"/>
  <c r="N18" i="3"/>
  <c r="M18" i="3"/>
  <c r="J18" i="3"/>
  <c r="I18" i="3"/>
  <c r="A18" i="3"/>
  <c r="P17" i="3"/>
  <c r="O17" i="3"/>
  <c r="N17" i="3"/>
  <c r="M17" i="3"/>
  <c r="J17" i="3"/>
  <c r="I17" i="3"/>
  <c r="A17" i="3"/>
  <c r="O16" i="3"/>
  <c r="N16" i="3"/>
  <c r="M16" i="3"/>
  <c r="J16" i="3"/>
  <c r="I16" i="3"/>
  <c r="A16" i="3"/>
  <c r="P15" i="3"/>
  <c r="O15" i="3"/>
  <c r="N15" i="3"/>
  <c r="M15" i="3"/>
  <c r="J15" i="3"/>
  <c r="I15" i="3"/>
  <c r="A15" i="3"/>
  <c r="P14" i="3"/>
  <c r="O14" i="3"/>
  <c r="N14" i="3"/>
  <c r="M14" i="3"/>
  <c r="J14" i="3"/>
  <c r="I14" i="3"/>
  <c r="A14" i="3"/>
  <c r="P13" i="3"/>
  <c r="O13" i="3"/>
  <c r="N13" i="3"/>
  <c r="M13" i="3"/>
  <c r="J13" i="3"/>
  <c r="I13" i="3"/>
  <c r="A13" i="3"/>
  <c r="P12" i="3"/>
  <c r="O12" i="3"/>
  <c r="N12" i="3"/>
  <c r="M12" i="3"/>
  <c r="J12" i="3"/>
  <c r="I12" i="3"/>
  <c r="A12" i="3"/>
  <c r="P11" i="3"/>
  <c r="O11" i="3"/>
  <c r="N11" i="3"/>
  <c r="M11" i="3"/>
  <c r="J11" i="3"/>
  <c r="I11" i="3"/>
  <c r="A11" i="3"/>
  <c r="P10" i="3"/>
  <c r="O10" i="3"/>
  <c r="N10" i="3"/>
  <c r="M10" i="3"/>
  <c r="I10" i="3"/>
  <c r="J10" i="3" s="1"/>
  <c r="A10" i="3"/>
  <c r="P9" i="3"/>
  <c r="O9" i="3"/>
  <c r="N9" i="3"/>
  <c r="M9" i="3"/>
  <c r="I9" i="3"/>
  <c r="J9" i="3" s="1"/>
  <c r="A9" i="3"/>
  <c r="P8" i="3"/>
  <c r="O8" i="3"/>
  <c r="N8" i="3"/>
  <c r="M8" i="3"/>
  <c r="J8" i="3"/>
  <c r="P16" i="3" s="1"/>
  <c r="I8" i="3"/>
  <c r="I39" i="3" s="1"/>
  <c r="F5" i="3"/>
  <c r="C5" i="3"/>
  <c r="C4" i="3"/>
  <c r="I3" i="3"/>
  <c r="L2" i="3"/>
  <c r="M29" i="3" l="1"/>
  <c r="J39" i="3"/>
  <c r="N29" i="3"/>
  <c r="O29" i="3"/>
  <c r="P29" i="3"/>
  <c r="P31" i="3" s="1"/>
</calcChain>
</file>

<file path=xl/sharedStrings.xml><?xml version="1.0" encoding="utf-8"?>
<sst xmlns="http://schemas.openxmlformats.org/spreadsheetml/2006/main" count="796" uniqueCount="711">
  <si>
    <t>CASILLEROS DE LLENADO</t>
  </si>
  <si>
    <t>Los casilleros  colorados de color NARANJA son de llenado obligatorio</t>
  </si>
  <si>
    <t>FECHAS MÁXIMO DE ENVÍO DE CAJA CHICA</t>
  </si>
  <si>
    <r>
      <rPr>
        <sz val="12"/>
        <color theme="0"/>
        <rFont val="Calibri"/>
        <family val="2"/>
        <scheme val="minor"/>
      </rPr>
      <t xml:space="preserve">El custodio debe envía los documentos correspondientes al mes de gestión </t>
    </r>
    <r>
      <rPr>
        <b/>
        <sz val="12"/>
        <color theme="0"/>
        <rFont val="Calibri"/>
        <family val="2"/>
        <scheme val="minor"/>
      </rPr>
      <t>MÁXIMO HASTA EL DÍA 23 DE CADA MES</t>
    </r>
    <r>
      <rPr>
        <sz val="12"/>
        <color theme="0"/>
        <rFont val="Calibri"/>
        <family val="2"/>
        <scheme val="minor"/>
      </rPr>
      <t xml:space="preserve">, </t>
    </r>
    <r>
      <rPr>
        <b/>
        <sz val="12"/>
        <color rgb="FFFF0000"/>
        <rFont val="Calibri"/>
        <family val="2"/>
        <scheme val="minor"/>
      </rPr>
      <t>NO SE RECIBEN COMPROBANTES DE FECHAS ANTERIORES</t>
    </r>
    <r>
      <rPr>
        <sz val="12"/>
        <color theme="0"/>
        <rFont val="Calibri"/>
        <family val="2"/>
        <scheme val="minor"/>
      </rPr>
      <t xml:space="preserve"> (dichos valores seran cubiertos por el custodio), EN EL CASO DE QUE YA ESTE CONSUMIDO EL 70% DEL VALOR, inmediatamente solicitar el REEMBOLSO</t>
    </r>
  </si>
  <si>
    <t>DETALLE DE COLUMNAS A LLENAR</t>
  </si>
  <si>
    <t>ACCIÓN A REALIZAR</t>
  </si>
  <si>
    <t>CÓDIGO</t>
  </si>
  <si>
    <t xml:space="preserve">Escoger el CÓDIGO de la sucursal a la cual pertenece </t>
  </si>
  <si>
    <t>SUCURSAL</t>
  </si>
  <si>
    <t>Casillero bloqueado información automática</t>
  </si>
  <si>
    <t>NOMBRE SUCURSAL</t>
  </si>
  <si>
    <t>NOMBRE DEL CUSTODIO</t>
  </si>
  <si>
    <t>Ingresar nombres y apellidos de la persona responsable del FONDO DE CAJA CHICA</t>
  </si>
  <si>
    <t>FECHA GENERACIÓN CAJA CHICA</t>
  </si>
  <si>
    <t>Ingresar la fecha en la cual se envía el archivo de caja chica</t>
  </si>
  <si>
    <t># CAJA CHICA</t>
  </si>
  <si>
    <t>Número automático que se vincula con el CÓDIGO de la sucursal y la fecha de envío</t>
  </si>
  <si>
    <t>ITEM</t>
  </si>
  <si>
    <t>Dato automático bloqueado, no realizar ninguna acción</t>
  </si>
  <si>
    <t>FECHA DEL COMPROBANTE</t>
  </si>
  <si>
    <t>Ingresar la fecha que consta en la FACTURA /  NOTA DE VENTA / VALE DE CAJA</t>
  </si>
  <si>
    <t>FACTURA / NOTA DE VENTA / VALE DE CAJA</t>
  </si>
  <si>
    <t>Casillero para ingresar los datos del NÚMERO de factura, el mismo que debe tener todos los datos (Ejemplo: 001-001-000000001)</t>
  </si>
  <si>
    <t>PROVEEDOR</t>
  </si>
  <si>
    <t>Los datos completos del Proveedor de acuerdo a lo que esté detallado en la FACTURA / NOTA DE VENTA / VALE DE CAJA</t>
  </si>
  <si>
    <t>DESCRIPCIÓN</t>
  </si>
  <si>
    <t>Se debe ingresar la descripción de la compra o actividad gestionada el motivo de la misma</t>
  </si>
  <si>
    <t>TIPO DE GASTO</t>
  </si>
  <si>
    <t>Este campo tiene un desplegador automático, el cual permite escoger el tipo de gasto, al escoger OTROS GASTOS O GASTOS NO DEDUCIBLES, se debe poneren la DESCRIPCIÓN el detalle del gasto</t>
  </si>
  <si>
    <t>SUB TOTAL SIN IVA</t>
  </si>
  <si>
    <t xml:space="preserve">Colocar el valor de las NOTAS DE VENTA y VALES DE CAJA, En el caso de las FACTURAS, existe discriminado el valor de SUBTOTAL SIN IVA, en este casillero se debe poner ese dato para que no se calcule el IVA. </t>
  </si>
  <si>
    <t>SUB TOTAL CON IVA</t>
  </si>
  <si>
    <t>Ingresar el valor de la FACTURA DE VENTA que tiene IVA</t>
  </si>
  <si>
    <t>IVA 15%</t>
  </si>
  <si>
    <t>Casillero bloqueado de cálculo automático</t>
  </si>
  <si>
    <t>TOTAL</t>
  </si>
  <si>
    <t>Adecuaciones locales</t>
  </si>
  <si>
    <t>Alimentación</t>
  </si>
  <si>
    <t>Cafetería</t>
  </si>
  <si>
    <t>Credenciales</t>
  </si>
  <si>
    <t>Hospedaje</t>
  </si>
  <si>
    <t>Movilización</t>
  </si>
  <si>
    <t>Recarga celulares</t>
  </si>
  <si>
    <t>Suministros de aseo</t>
  </si>
  <si>
    <t>Suministros de oficina</t>
  </si>
  <si>
    <t>Otros gastos</t>
  </si>
  <si>
    <t>Gastos no deducibles</t>
  </si>
  <si>
    <t>PENALIDAD POR NO CUMPLIR LAS DISPOSICIONES</t>
  </si>
  <si>
    <t>- Documentos fuera de fecha, serán descontados los valores al custodio</t>
  </si>
  <si>
    <t>- Envío de Caja Chica fuera de tiempo: llamados de atención y dependiendo la incidencia  con cargo al sueldo</t>
  </si>
  <si>
    <t>- FACTURAS / NOTAS DE VENTA caducadas, valores descontados al custodio</t>
  </si>
  <si>
    <t>Politica de Caja Chica</t>
  </si>
  <si>
    <t>Literal A - Las facturas:</t>
  </si>
  <si>
    <t>- deben estar a nombre del custodio</t>
  </si>
  <si>
    <t xml:space="preserve">- deben estar sin machones, tachones o enmendaduras </t>
  </si>
  <si>
    <t>- deben estar vigentes - revisar fechas de caducidad</t>
  </si>
  <si>
    <t>- debe estar lleno el espacio de FORMA DE PAGO</t>
  </si>
  <si>
    <t>- deben estar completamente llenas en todos los espacios de la impresión del proveedor</t>
  </si>
  <si>
    <t>- deben estar firmadas ya sea en RECIBI CONFORME y o en AUTORIZADO POR</t>
  </si>
  <si>
    <t>- facturas superiores a $50.00 deben estar previemente autorizadas y ser emitidas a Novisolutions Cia Ltda, reportadas a Contabilidad para la emision de la retencion y previo pago menos este impuesto</t>
  </si>
  <si>
    <t>Alimentacion</t>
  </si>
  <si>
    <t>- se autoriza alimentación para el personal que por motivos de auditoria o recepción de mercadería, mantenimiento de aires, cambios de publicidad, arreglos que no se puedan realizar en horario de atención, se quede más de las 10:00 pm (anexo biométrico por persona)</t>
  </si>
  <si>
    <t>- el valor de consumo es de $2.00 por persona como máximo</t>
  </si>
  <si>
    <t>- el consumo debe ser efectuado el mismo día, no se aceptarán facturas de otros días</t>
  </si>
  <si>
    <t>Gastos Varios</t>
  </si>
  <si>
    <t>- se colocarán los gastos de compras varias para el local, peajes o combustibles autorizados (colocar placa del vehículo y o a quien pertenece, de ser empleado)</t>
  </si>
  <si>
    <t>- Movilizacion a partir de las 22H00 valor de 3$ por persona justificado con biometrico</t>
  </si>
  <si>
    <t>- En caso de movilización para ventas puntuales, el gasto de combustible deberá registrarse el mismo día en que se realice la transferencia y venta del producto. No se aceptarán facturas de combustible con fecha distinta. Asimismo, el valor de la factura deberá ser coherente con la distancia recorrida entre los dos puntos; de no cumplirse estas condiciones, el gasto no será validado.</t>
  </si>
  <si>
    <t>Literal B - Los Recibos:</t>
  </si>
  <si>
    <t>- se colocaran solo gastos por movilizacion, de sustentos se aceptan solo tickets de taxi o recibos de UBER, INDRIVE O CABIFY preferentemente</t>
  </si>
  <si>
    <t>- EL TOTAL de los recibos no debe pasar el 10% del valor gastado</t>
  </si>
  <si>
    <t xml:space="preserve">Nota: En caso de tener autorizaciones por traslados de mercaderia entre tiendas, se debe adjuntar la factura de venta, transferencia de mercaderia,  tickets de taxi o de aplicaciones de movilizacion que esten activas en la provincia </t>
  </si>
  <si>
    <t>GASTOS DE ALIMENTACION Y MOVILIZACION TIENEN QUE ESTAR SIEMPRE CON LA AUTORIZACION DEL SUPERVISOR DE TIENDA</t>
  </si>
  <si>
    <t>GASTOS DE MOVILIZACION POR VENTAS PUNTUALES, DEBEN ESTAR AUTORIZADOS POR EL SUPERVISOR DE TIENDA, GASTO DE MOVILIZACION SIN AUTORIZCION NO SERA REEMBOLSADO.</t>
  </si>
  <si>
    <t>INFORME PARA REEMBOLSO DE CAJA CHICA</t>
  </si>
  <si>
    <t>BCC21</t>
  </si>
  <si>
    <t>NANCY PAOLA SANTANA SANTOS</t>
  </si>
  <si>
    <t>FECHA DE ENVÍO CAJA CHICA</t>
  </si>
  <si>
    <t>18/FEBRERO/2026</t>
  </si>
  <si>
    <t>INFORME RESUMEN CAJA CHICA</t>
  </si>
  <si>
    <r>
      <rPr>
        <b/>
        <sz val="11"/>
        <color theme="0"/>
        <rFont val="Calibri"/>
        <family val="2"/>
        <scheme val="minor"/>
      </rPr>
      <t xml:space="preserve">SUB TOTAL </t>
    </r>
    <r>
      <rPr>
        <b/>
        <sz val="11"/>
        <color rgb="FFFF0000"/>
        <rFont val="Calibri"/>
        <family val="2"/>
        <scheme val="minor"/>
      </rPr>
      <t>SIN</t>
    </r>
    <r>
      <rPr>
        <b/>
        <sz val="11"/>
        <color theme="0"/>
        <rFont val="Calibri"/>
        <family val="2"/>
        <scheme val="minor"/>
      </rPr>
      <t xml:space="preserve"> IVA</t>
    </r>
  </si>
  <si>
    <r>
      <rPr>
        <b/>
        <sz val="11"/>
        <color theme="0"/>
        <rFont val="Calibri"/>
        <family val="2"/>
        <scheme val="minor"/>
      </rPr>
      <t xml:space="preserve">SUB TOTAL </t>
    </r>
    <r>
      <rPr>
        <b/>
        <sz val="11"/>
        <color rgb="FFFF0000"/>
        <rFont val="Calibri"/>
        <family val="2"/>
        <scheme val="minor"/>
      </rPr>
      <t>CON</t>
    </r>
    <r>
      <rPr>
        <b/>
        <sz val="11"/>
        <color theme="0"/>
        <rFont val="Calibri"/>
        <family val="2"/>
        <scheme val="minor"/>
      </rPr>
      <t xml:space="preserve"> IVA</t>
    </r>
  </si>
  <si>
    <t>GASTO</t>
  </si>
  <si>
    <t>SUBTOTAL SIN IVA</t>
  </si>
  <si>
    <t>SUBTOTAL CON IVA</t>
  </si>
  <si>
    <t>IVA</t>
  </si>
  <si>
    <t>VALOR A REEMBOLSAR</t>
  </si>
  <si>
    <t>FONDO CAJA CHICA</t>
  </si>
  <si>
    <t>SALDO CAJA CHICA</t>
  </si>
  <si>
    <t>Elaborado por: CUSTODIO</t>
  </si>
  <si>
    <t>Recibido por: SUPERVISOR CAJAS</t>
  </si>
  <si>
    <t>Apellidos y Nombre</t>
  </si>
  <si>
    <t>SANTANA SANTOS NANCY PAOLA</t>
  </si>
  <si>
    <t>Suc</t>
  </si>
  <si>
    <t>Código</t>
  </si>
  <si>
    <t>Nombre</t>
  </si>
  <si>
    <t>Referencia</t>
  </si>
  <si>
    <t>PRI</t>
  </si>
  <si>
    <t>ACC01</t>
  </si>
  <si>
    <t>002 CARACOL</t>
  </si>
  <si>
    <t>SUCURSAL CARACOL</t>
  </si>
  <si>
    <t>ACC04</t>
  </si>
  <si>
    <t>028 LOJA</t>
  </si>
  <si>
    <t>SUCURSAL LOJA EL SAGRARIO</t>
  </si>
  <si>
    <t>ACC05</t>
  </si>
  <si>
    <t>005 NV RECREO</t>
  </si>
  <si>
    <t>SUCURSAL NV RECREO</t>
  </si>
  <si>
    <t>ACC06</t>
  </si>
  <si>
    <t>006 NNUU</t>
  </si>
  <si>
    <t>SUCURSAL NNUU</t>
  </si>
  <si>
    <t>ACC07</t>
  </si>
  <si>
    <t>001 RIO COCA</t>
  </si>
  <si>
    <t>SUCURSAL RIO COCA</t>
  </si>
  <si>
    <t>ACC08</t>
  </si>
  <si>
    <t>008 CITY MALL</t>
  </si>
  <si>
    <t>SUCURSAL CITY MALL GUAYAQUIL</t>
  </si>
  <si>
    <t>ACC09</t>
  </si>
  <si>
    <t>012 AMBATO</t>
  </si>
  <si>
    <t>SUCURSAL AMBATO</t>
  </si>
  <si>
    <t>ACC12</t>
  </si>
  <si>
    <t>CLOSEMERUIO</t>
  </si>
  <si>
    <t>VENTAS MERCADO LIBRE QUITO</t>
  </si>
  <si>
    <t>ACC13</t>
  </si>
  <si>
    <t>CLOSEMERGYQ</t>
  </si>
  <si>
    <t>VENTAS MERCADO LIBRE GUAYAQUIL</t>
  </si>
  <si>
    <t>ACC16</t>
  </si>
  <si>
    <t>010 IMPORTADORA</t>
  </si>
  <si>
    <t>SUCURSAL IMP. MANTA</t>
  </si>
  <si>
    <t>ACC19</t>
  </si>
  <si>
    <t>013 MALL SUR</t>
  </si>
  <si>
    <t>SUCURSAL MALL DEL SUR GUAYAQUIL</t>
  </si>
  <si>
    <t>ACC21</t>
  </si>
  <si>
    <t>015 GANACELL MA</t>
  </si>
  <si>
    <t>SUCURSAL GN MACHALA</t>
  </si>
  <si>
    <t>ACC22</t>
  </si>
  <si>
    <t>018 FCO ORELLAN</t>
  </si>
  <si>
    <t>SUCURSAL FCO ORELLANA GUAYAQUIL</t>
  </si>
  <si>
    <t>ACC23</t>
  </si>
  <si>
    <t>019 9 OCTUBRE</t>
  </si>
  <si>
    <t>SUCURSAL 9 DE OCTUBRE GUAYAQUIL</t>
  </si>
  <si>
    <t>ACC25</t>
  </si>
  <si>
    <t>021 NV CUENCA 1</t>
  </si>
  <si>
    <t>SUCURSAL MALL DEL RIO - CUENCA1</t>
  </si>
  <si>
    <t>ACC26</t>
  </si>
  <si>
    <t>022 S.DOM TSACH</t>
  </si>
  <si>
    <t>SUCURSAL SANTO DOMINGO DE LOS TSACHILAS</t>
  </si>
  <si>
    <t>ACC29</t>
  </si>
  <si>
    <t>025 E-commerce</t>
  </si>
  <si>
    <t>SUCURSAL E-commerce</t>
  </si>
  <si>
    <t>ACC30</t>
  </si>
  <si>
    <t>026 C.LOGUIO</t>
  </si>
  <si>
    <t>CENTRO LOGISTICO QUITO</t>
  </si>
  <si>
    <t>ACC31</t>
  </si>
  <si>
    <t>027 C.LOGGYQ</t>
  </si>
  <si>
    <t>CENTRO LOGISTICO GUAYAQUIL</t>
  </si>
  <si>
    <t>ACC32</t>
  </si>
  <si>
    <t>029 QUEVEDO</t>
  </si>
  <si>
    <t>SUCURSAL QUEVEDO</t>
  </si>
  <si>
    <t>ACC33</t>
  </si>
  <si>
    <t>011 NOVICOMPU 1</t>
  </si>
  <si>
    <t>SUCURSAL NOVICOMPU 1 - GUAL PTOVIEJ</t>
  </si>
  <si>
    <t>ACC34</t>
  </si>
  <si>
    <t>030 RIOBAMBA</t>
  </si>
  <si>
    <t>SUCURSAL RIOBAMBA</t>
  </si>
  <si>
    <t>ACC35</t>
  </si>
  <si>
    <t>032 FCO ORELLAN</t>
  </si>
  <si>
    <t>SUCURSAL FCO ORELLANA 2 GUAYAQUIL</t>
  </si>
  <si>
    <t>ACC36</t>
  </si>
  <si>
    <t>033 GN PLAZA QU</t>
  </si>
  <si>
    <t>SUCURSAL GN PLAZA QUIL GUAYAQUIL</t>
  </si>
  <si>
    <t>ACC37</t>
  </si>
  <si>
    <t>CLOSE-034 URDES</t>
  </si>
  <si>
    <t>URDESA</t>
  </si>
  <si>
    <t>ACC38</t>
  </si>
  <si>
    <t>035 MANTA</t>
  </si>
  <si>
    <t>SUCURSAL MANTA</t>
  </si>
  <si>
    <t>ACC39</t>
  </si>
  <si>
    <t xml:space="preserve">036 NV MACHALA </t>
  </si>
  <si>
    <t>SUCURSAL IMP NOV MACHALA</t>
  </si>
  <si>
    <t>ACC40</t>
  </si>
  <si>
    <t>CLOSE 6 DIC 037</t>
  </si>
  <si>
    <t>SUCURSAL 6 DE DICIEMBRE 130723</t>
  </si>
  <si>
    <t>ACC41</t>
  </si>
  <si>
    <t>038 AV DEL MAES</t>
  </si>
  <si>
    <t>SUCURSAL AV DEL MAESTRO</t>
  </si>
  <si>
    <t>ACC42</t>
  </si>
  <si>
    <t>CLOSEIMP ORELLA</t>
  </si>
  <si>
    <t>SUCURSAL IMP. ORELLANA</t>
  </si>
  <si>
    <t>ACC43</t>
  </si>
  <si>
    <t>CLOSE040 GN RIO</t>
  </si>
  <si>
    <t>SUCURSAL GN RIO COCA</t>
  </si>
  <si>
    <t>ACC44</t>
  </si>
  <si>
    <t>041 NV UNICENTR</t>
  </si>
  <si>
    <t>SUCURSAL NOVICOMPU UNICENTRO</t>
  </si>
  <si>
    <t>ACC45</t>
  </si>
  <si>
    <t>CLOSE 042FICUS</t>
  </si>
  <si>
    <t>SUCURSAL IMPORTADORA NOVOA FICUS</t>
  </si>
  <si>
    <t>ACC46</t>
  </si>
  <si>
    <t>044 LATACUNGA 2</t>
  </si>
  <si>
    <t>SUCURSAL  NV LATACUNGA 2</t>
  </si>
  <si>
    <t>ACC47</t>
  </si>
  <si>
    <t>CLOSEIMP UR 043</t>
  </si>
  <si>
    <t>SUCURSAL IMP. NOV.  URDESA 130723</t>
  </si>
  <si>
    <t>ACC48</t>
  </si>
  <si>
    <t>045 GANACELL MA</t>
  </si>
  <si>
    <t>SUCURSAL GANACELL MANTA</t>
  </si>
  <si>
    <t>ACC49</t>
  </si>
  <si>
    <t>CLOSETRIANG 046</t>
  </si>
  <si>
    <t>SUCURSAL KECELL P.TRIANGULO</t>
  </si>
  <si>
    <t>ACC50</t>
  </si>
  <si>
    <t>047 GN. PORTOVI</t>
  </si>
  <si>
    <t>SUCURSAL GANACELL PORTOVIEJO</t>
  </si>
  <si>
    <t>ACC51</t>
  </si>
  <si>
    <t xml:space="preserve">048 ESCOBEDO Y </t>
  </si>
  <si>
    <t>SUCURSAL ESCOBEDO Y 9 OCT.</t>
  </si>
  <si>
    <t>ACC52</t>
  </si>
  <si>
    <t>CLOSE050 GN IBA</t>
  </si>
  <si>
    <t>SUCURSAL GANACELL IBARRA</t>
  </si>
  <si>
    <t>ACC53</t>
  </si>
  <si>
    <t>CLOSE 051 PIAZZ</t>
  </si>
  <si>
    <t>SUCURSAL LA PIAZZA</t>
  </si>
  <si>
    <t>ACC54</t>
  </si>
  <si>
    <t>052 NV STO DOM2</t>
  </si>
  <si>
    <t>SUCURSAL GANACELL SANTO DOMINGO</t>
  </si>
  <si>
    <t>ACC55</t>
  </si>
  <si>
    <t>CLOSEGN PT2 053</t>
  </si>
  <si>
    <t>SUCURSAL 053 GN PORTOVIEJO 2</t>
  </si>
  <si>
    <t>ACC56</t>
  </si>
  <si>
    <t>049 IMP NOVOA C</t>
  </si>
  <si>
    <t>SUCURSAL IMP NOVOA CUENCA</t>
  </si>
  <si>
    <t>ACC57</t>
  </si>
  <si>
    <t>054 GANACELL RO</t>
  </si>
  <si>
    <t>SUCURSAL GANACELL ROTONDA</t>
  </si>
  <si>
    <t>ACC58</t>
  </si>
  <si>
    <t>055 NOVICOMPU 2</t>
  </si>
  <si>
    <t>SUCURSAL NOVICOMPU 2 - 18OCT PTOVIEJO</t>
  </si>
  <si>
    <t>ACC59</t>
  </si>
  <si>
    <t xml:space="preserve">CLOSE060 NV PT </t>
  </si>
  <si>
    <t>SUCURSAL NOVICOMPU PORTOVIEJO 4</t>
  </si>
  <si>
    <t>ACC60</t>
  </si>
  <si>
    <t>CLOSE057 REC2</t>
  </si>
  <si>
    <t>SUCURSAL RECREO 2</t>
  </si>
  <si>
    <t>ACC61</t>
  </si>
  <si>
    <t xml:space="preserve">059 BUENAVISTA </t>
  </si>
  <si>
    <t>SUCURSAL BUENAVISTA MACHALA2</t>
  </si>
  <si>
    <t>ACC62</t>
  </si>
  <si>
    <t>056 IMP NOVOA P</t>
  </si>
  <si>
    <t>SUCURSAL IMP NOVOA PORTOVIEJO</t>
  </si>
  <si>
    <t>ACC63</t>
  </si>
  <si>
    <t>058 MILAGRO</t>
  </si>
  <si>
    <t>SUCURSAL MILAGRO-058</t>
  </si>
  <si>
    <t>ACC64</t>
  </si>
  <si>
    <t>061 CUENCA 2 NO</t>
  </si>
  <si>
    <t xml:space="preserve">SUCURSAL CUENCA 2 NOVICOMPU </t>
  </si>
  <si>
    <t>ACC65</t>
  </si>
  <si>
    <t>062 IMP NOVOA C</t>
  </si>
  <si>
    <t>SUCURSAL IMP NOVOA CITY MALL</t>
  </si>
  <si>
    <t>ACC66</t>
  </si>
  <si>
    <t>CLOSE 063 EL BO</t>
  </si>
  <si>
    <t>CLOSE SUCURSAL EL BOSQUE</t>
  </si>
  <si>
    <t>ACC67</t>
  </si>
  <si>
    <t>064 I BABAHOYO2</t>
  </si>
  <si>
    <t>SUCURSAL IMP NOV BABAHOYO 2</t>
  </si>
  <si>
    <t>ACC68</t>
  </si>
  <si>
    <t>065 NV IBARRA</t>
  </si>
  <si>
    <t>SUCURSAL NOVICOMPU IBARRA</t>
  </si>
  <si>
    <t>ACC69</t>
  </si>
  <si>
    <t>066 LIBERTAD 2</t>
  </si>
  <si>
    <t>SUCURSAL NV LA LIBERTAD 2</t>
  </si>
  <si>
    <t>ACC70</t>
  </si>
  <si>
    <t>CLOSENV MANTA</t>
  </si>
  <si>
    <t>SUCURSAL NOVICOMPU MANTA2</t>
  </si>
  <si>
    <t>ACC71</t>
  </si>
  <si>
    <t>069 AMBATO 2</t>
  </si>
  <si>
    <t>SUCURSAL AMBATO 2</t>
  </si>
  <si>
    <t>ACC72</t>
  </si>
  <si>
    <t>068 NOV MILG2</t>
  </si>
  <si>
    <t>SUCURSAL NOVICOMPU - MILAGRO 2</t>
  </si>
  <si>
    <t>ACC73</t>
  </si>
  <si>
    <t>070 IMP NOV REC</t>
  </si>
  <si>
    <t>SUCURSAL IMPORTADORA NOVOA RECREO</t>
  </si>
  <si>
    <t>ACC74</t>
  </si>
  <si>
    <t>CLOSE ESMER 071</t>
  </si>
  <si>
    <t>SUCURSAL ESMERALDAS 130723</t>
  </si>
  <si>
    <t>ACC75</t>
  </si>
  <si>
    <t>072 IMP NOV BAB</t>
  </si>
  <si>
    <t>SUCURSAL IMPORTADORA NOVOA BABAHOYO</t>
  </si>
  <si>
    <t>ACC76</t>
  </si>
  <si>
    <t>CLOSE073 STO D2</t>
  </si>
  <si>
    <t xml:space="preserve">SUCURSAL NV STO DOMINGO 2 </t>
  </si>
  <si>
    <t>ACC77</t>
  </si>
  <si>
    <t>074 IMP M.RIO G</t>
  </si>
  <si>
    <t>SUCURSAL IMP NOVOA M.RIO GYE</t>
  </si>
  <si>
    <t>ACC78</t>
  </si>
  <si>
    <t>075 NARANJAL</t>
  </si>
  <si>
    <t>SUCURSAL NARANJAL</t>
  </si>
  <si>
    <t>ACC79</t>
  </si>
  <si>
    <t>CLOSEMACHA 3</t>
  </si>
  <si>
    <t>SUCURSAL NOVICOMPU MACHALA</t>
  </si>
  <si>
    <t>ACC80</t>
  </si>
  <si>
    <t>CLOSERIOBAM2077</t>
  </si>
  <si>
    <t>SUCURSAL NV RIOBAMBA 2</t>
  </si>
  <si>
    <t>ACC81</t>
  </si>
  <si>
    <t>078 NOVI CHONE</t>
  </si>
  <si>
    <t>SUCURSAL NOVICOMPU CHONE</t>
  </si>
  <si>
    <t>ACC82</t>
  </si>
  <si>
    <t>079 CALDERON</t>
  </si>
  <si>
    <t>SUCURSAL CALDERON</t>
  </si>
  <si>
    <t>ACC83</t>
  </si>
  <si>
    <t>080 V. CHILLOS</t>
  </si>
  <si>
    <t>SUCURSAL VALLE DE LOS CHILLOS</t>
  </si>
  <si>
    <t>ACC84</t>
  </si>
  <si>
    <t>081 TENA</t>
  </si>
  <si>
    <t>SUCURSAL TENA</t>
  </si>
  <si>
    <t>ACC85</t>
  </si>
  <si>
    <t>082 LA LIBERTAD</t>
  </si>
  <si>
    <t>SUCURSAL NV LA LIBERTAD</t>
  </si>
  <si>
    <t>ACC86</t>
  </si>
  <si>
    <t>CLOSE 083 CALDE</t>
  </si>
  <si>
    <t>SUCURSAL NV CALDERON 2</t>
  </si>
  <si>
    <t>ACC87</t>
  </si>
  <si>
    <t xml:space="preserve">084 MOVIL TECH </t>
  </si>
  <si>
    <t xml:space="preserve">SUCURSAL 084 MOVIL TECH MANTA </t>
  </si>
  <si>
    <t>ACC88</t>
  </si>
  <si>
    <t>085 GN CARACOL</t>
  </si>
  <si>
    <t xml:space="preserve">SUCURSAL GANACELL CARACOL </t>
  </si>
  <si>
    <t>ACC89</t>
  </si>
  <si>
    <t>CLOSESANGOLQ</t>
  </si>
  <si>
    <t>SUCURSAL NV SANGOLQUI</t>
  </si>
  <si>
    <t>ACC90</t>
  </si>
  <si>
    <t>CLOSELATACUN</t>
  </si>
  <si>
    <t>SUCURSAL NV LATACUNGA</t>
  </si>
  <si>
    <t>ACC91</t>
  </si>
  <si>
    <t>088 MALL FORTIN</t>
  </si>
  <si>
    <t>NV MALL DEL FORTIN</t>
  </si>
  <si>
    <t>ACC92</t>
  </si>
  <si>
    <t>089 MAGDALENA</t>
  </si>
  <si>
    <t xml:space="preserve">SUCURSAL NV MAGDALENA </t>
  </si>
  <si>
    <t>ACC93</t>
  </si>
  <si>
    <t>CLOSEGNCHON090</t>
  </si>
  <si>
    <t>SUCURSAL GANACELL CHONE</t>
  </si>
  <si>
    <t>ACC94</t>
  </si>
  <si>
    <t>091 M. RIO GYE</t>
  </si>
  <si>
    <t>SUCURSAL NV MALL DEL RIO GYE</t>
  </si>
  <si>
    <t>ACC95</t>
  </si>
  <si>
    <t>092 ESMERAL 2</t>
  </si>
  <si>
    <t>SUCURSAL ESMERALDAS 2</t>
  </si>
  <si>
    <t>ACC96</t>
  </si>
  <si>
    <t xml:space="preserve">051 GN MANTA 2 </t>
  </si>
  <si>
    <t xml:space="preserve">SUCURSAL GANACELL MANTA 2 </t>
  </si>
  <si>
    <t>ACC97</t>
  </si>
  <si>
    <t>039 GN PJ MERCY</t>
  </si>
  <si>
    <t xml:space="preserve">SUCURSAL GANACELL PASAJE MERCY </t>
  </si>
  <si>
    <t>ACC98</t>
  </si>
  <si>
    <t>CLOSE 087 GN AM</t>
  </si>
  <si>
    <t xml:space="preserve">SUCURSAL GANACELL AMBATO </t>
  </si>
  <si>
    <t>ACC99</t>
  </si>
  <si>
    <t>067 IMP PORTO 2</t>
  </si>
  <si>
    <t>SUCURSAL IMP PORTOVIEJO 2</t>
  </si>
  <si>
    <t>ADGYQ</t>
  </si>
  <si>
    <t>ADMIN GUAYAQUIL</t>
  </si>
  <si>
    <t>ADMINISTRACION GUAYAQUIL</t>
  </si>
  <si>
    <t>ADUIO</t>
  </si>
  <si>
    <t>ADMIN QUITO</t>
  </si>
  <si>
    <t>ADMINISTRACION QUITO</t>
  </si>
  <si>
    <t>AUDIN</t>
  </si>
  <si>
    <t>AUDITOR INTERNO</t>
  </si>
  <si>
    <t>AUDITORIA INTERNA</t>
  </si>
  <si>
    <t>BCC01</t>
  </si>
  <si>
    <t>076 GN PORTO 3</t>
  </si>
  <si>
    <t>SUCURSAL GN PORTOVIEJO 3</t>
  </si>
  <si>
    <t>BCC02</t>
  </si>
  <si>
    <t>016 NV PORTAL</t>
  </si>
  <si>
    <t>SUCURSAL EL PORTAL</t>
  </si>
  <si>
    <t>BCC03</t>
  </si>
  <si>
    <t>014 N MALL NORT</t>
  </si>
  <si>
    <t>SUCURSAL NV MALL DEL NORTE</t>
  </si>
  <si>
    <t>BCC04</t>
  </si>
  <si>
    <t>020 NV QUIC SUR</t>
  </si>
  <si>
    <t>SUCURSAL NV QUICENTRO SUR</t>
  </si>
  <si>
    <t>BCC05</t>
  </si>
  <si>
    <t>017 I MALL NORT</t>
  </si>
  <si>
    <t>SUCURSAL IMP MALL DEL NORTE</t>
  </si>
  <si>
    <t>BCC06</t>
  </si>
  <si>
    <t>023 G MALL NORT</t>
  </si>
  <si>
    <t>SUCURSAL GN MALL DEL NORTE</t>
  </si>
  <si>
    <t>BCC07</t>
  </si>
  <si>
    <t>024 NV PJ MERCY</t>
  </si>
  <si>
    <t>SUCURSAL NV PASAJE MERCY</t>
  </si>
  <si>
    <t>BCC08</t>
  </si>
  <si>
    <t xml:space="preserve">093 MT CARACOL </t>
  </si>
  <si>
    <t xml:space="preserve">SUCURSAL MOVIL TECH CARACOL </t>
  </si>
  <si>
    <t>BCC09</t>
  </si>
  <si>
    <t>004 MT RECREO</t>
  </si>
  <si>
    <t>SUCURSAL MOVIL TECH RECREO</t>
  </si>
  <si>
    <t>BCC10</t>
  </si>
  <si>
    <t>003 GN RECREO</t>
  </si>
  <si>
    <t>SUCURSAL GANACELL RECREO</t>
  </si>
  <si>
    <t>BCC11</t>
  </si>
  <si>
    <t>007 IMP FORTIN</t>
  </si>
  <si>
    <t>SUCURSAL IMP FORTIN</t>
  </si>
  <si>
    <t>BCC12</t>
  </si>
  <si>
    <t>009 NV PLAYAS 1</t>
  </si>
  <si>
    <t>SUCURSAL IMP NOVOA PLAYAS</t>
  </si>
  <si>
    <t>BCC13</t>
  </si>
  <si>
    <t>094 IMP CARACOL</t>
  </si>
  <si>
    <t>SUCURSAL IMP CARACOL</t>
  </si>
  <si>
    <t>BCC14</t>
  </si>
  <si>
    <t>CLOSE095 GAME</t>
  </si>
  <si>
    <t>SUCURSAL NOVIGAME</t>
  </si>
  <si>
    <t>BCC15</t>
  </si>
  <si>
    <t>096 NV PZ MAYOR</t>
  </si>
  <si>
    <t>SUCURSAL NV PLAZA MAYOR GYE</t>
  </si>
  <si>
    <t>BCC16</t>
  </si>
  <si>
    <t>ADMIN PORTAL</t>
  </si>
  <si>
    <t>SUCURSAL ADMIN PORTAL</t>
  </si>
  <si>
    <t>BCC17</t>
  </si>
  <si>
    <t>ADMIN QUICENTRO</t>
  </si>
  <si>
    <t>SUCURSAL ADMIN QUICENTRO SUR</t>
  </si>
  <si>
    <t>BCC18</t>
  </si>
  <si>
    <t>CLOSE097 NV PRE</t>
  </si>
  <si>
    <t>SUCURSAL NV LA PRENSA</t>
  </si>
  <si>
    <t>BCC19</t>
  </si>
  <si>
    <t>CLOSEGNMANTA099</t>
  </si>
  <si>
    <t>SUCURSAL GANACELL MANTA 3</t>
  </si>
  <si>
    <t>BCC20</t>
  </si>
  <si>
    <t>098 NV EL PUYO</t>
  </si>
  <si>
    <t>SUCURSAL NOVICOMPU EL PUYO</t>
  </si>
  <si>
    <t>100 NV EL CARME</t>
  </si>
  <si>
    <t>SUCURSAL NOVICOMPU EL CARMEN</t>
  </si>
  <si>
    <t>BCC22</t>
  </si>
  <si>
    <t>CLOSE 101 GN BA</t>
  </si>
  <si>
    <t>SUCURSAL GANACELL BABAHOYO</t>
  </si>
  <si>
    <t>BCC23</t>
  </si>
  <si>
    <t>CLOSE-102 NV TE</t>
  </si>
  <si>
    <t>CLOSE-SUCURSAL NOVICOMPU TENA 2</t>
  </si>
  <si>
    <t>BCC24</t>
  </si>
  <si>
    <t>CLOSE 103 MT PO</t>
  </si>
  <si>
    <t>SUCURSAL MOVIL TECH PORTOVIEJO</t>
  </si>
  <si>
    <t>BCC25</t>
  </si>
  <si>
    <t>104 NV TRIUNFO</t>
  </si>
  <si>
    <t>SUCURSAL NOVICOMPU EL TRIUNFO</t>
  </si>
  <si>
    <t>BCC26</t>
  </si>
  <si>
    <t>105 NV VINCES</t>
  </si>
  <si>
    <t>SUCURSAL NOVICOMPU VINCES</t>
  </si>
  <si>
    <t>BCC27</t>
  </si>
  <si>
    <t>CLOSE 106 NV PL</t>
  </si>
  <si>
    <t>SUCURSAL NOVICOMPU PLAYAS 2</t>
  </si>
  <si>
    <t>BCC28</t>
  </si>
  <si>
    <t>107 NV DAULE</t>
  </si>
  <si>
    <t>SUCURSAL NOVICOMPU DAULE</t>
  </si>
  <si>
    <t>BCC29</t>
  </si>
  <si>
    <t>108 IMP QUEVEDO</t>
  </si>
  <si>
    <t>SUCURSAL IMPORTADORA NOVOA QUEVEDO</t>
  </si>
  <si>
    <t>BCC30</t>
  </si>
  <si>
    <t>109 NV MANTA 2</t>
  </si>
  <si>
    <t>SUCURSAL NOVICOMPU MANTA 2</t>
  </si>
  <si>
    <t>BCC31</t>
  </si>
  <si>
    <t>110 IMP PLAZA Q</t>
  </si>
  <si>
    <t>SUCURSAL IMP PLAZA QUIL</t>
  </si>
  <si>
    <t>BCC32</t>
  </si>
  <si>
    <t>CLOSE111 NV ATA</t>
  </si>
  <si>
    <t>SUCURSAL NOVICOMPU ATAHUALPA</t>
  </si>
  <si>
    <t>BCC33</t>
  </si>
  <si>
    <t>112 NV CHONE 2</t>
  </si>
  <si>
    <t>SUCURSAL NOVICOMPU CHONE 2</t>
  </si>
  <si>
    <t>BCC34</t>
  </si>
  <si>
    <t>113 GN QUIC SUR</t>
  </si>
  <si>
    <t>SUCURSAL GANACELL QUICENTRO SUR</t>
  </si>
  <si>
    <t>BCC35</t>
  </si>
  <si>
    <t>114 GN FORTIN</t>
  </si>
  <si>
    <t>SUCURSAL GANACELL FORTIN</t>
  </si>
  <si>
    <t>BCC36</t>
  </si>
  <si>
    <t>ADMIN GN QUICEN</t>
  </si>
  <si>
    <t>ADMINISTRACION GN QUICENTRO SUR</t>
  </si>
  <si>
    <t>BCC37</t>
  </si>
  <si>
    <t>115 NV BABAH 2</t>
  </si>
  <si>
    <t>SUCURSAL NOVICOMPU BABAHOYO 2</t>
  </si>
  <si>
    <t>BCC38</t>
  </si>
  <si>
    <t>116 MALL PACIFI</t>
  </si>
  <si>
    <t>SUCURSAL NV MALL DEL PACIFICO - MANTA</t>
  </si>
  <si>
    <t>MPA</t>
  </si>
  <si>
    <t>BCC39</t>
  </si>
  <si>
    <t>ADMIN MALL PACI</t>
  </si>
  <si>
    <t>ADMIN NV MALL DEL PACIFICO - MANTA</t>
  </si>
  <si>
    <t>BCC40</t>
  </si>
  <si>
    <t>117 NV CEIBOS</t>
  </si>
  <si>
    <t>SUCURSAL NOVICOMPU CEIBOS</t>
  </si>
  <si>
    <t>BCC41</t>
  </si>
  <si>
    <t>118 GN RUMICHAC</t>
  </si>
  <si>
    <t>SUCURSAL GANACELL RUMICHACA</t>
  </si>
  <si>
    <t>BCC42</t>
  </si>
  <si>
    <t>119 NV RECREO 2</t>
  </si>
  <si>
    <t>SUCURSAL NOVICOMPU RECREO 2</t>
  </si>
  <si>
    <t>BCC43</t>
  </si>
  <si>
    <t xml:space="preserve">120 NV RECREO </t>
  </si>
  <si>
    <t xml:space="preserve">120 NOVICOMPU RECREO </t>
  </si>
  <si>
    <t>BCC44</t>
  </si>
  <si>
    <t>121 POLICENTRO</t>
  </si>
  <si>
    <t>SUCURSAL POLICENTRO</t>
  </si>
  <si>
    <t>BCC45</t>
  </si>
  <si>
    <t>122 GANACELL PL</t>
  </si>
  <si>
    <t>SUCURSAL GANACELL PLAYAS</t>
  </si>
  <si>
    <t>BCC46</t>
  </si>
  <si>
    <t xml:space="preserve">CLOSE-123 NV T </t>
  </si>
  <si>
    <t xml:space="preserve">SUCURSAL NV TERM DE MILAGRO </t>
  </si>
  <si>
    <t>BCC47</t>
  </si>
  <si>
    <t>124 NV JIPIJAPA</t>
  </si>
  <si>
    <t>SUCURSAL NOVICOMPU JIPIJAPA</t>
  </si>
  <si>
    <t>BCC48</t>
  </si>
  <si>
    <t>125 NV MACHACHI</t>
  </si>
  <si>
    <t>SUCURSAL NOVICOMPU MACHACHI</t>
  </si>
  <si>
    <t>BCC49</t>
  </si>
  <si>
    <t>126 NV TUMBACO</t>
  </si>
  <si>
    <t>SUCURSAL NV TUMBACO CORAL HIPERMERCADO</t>
  </si>
  <si>
    <t>BCC50</t>
  </si>
  <si>
    <t>127 NV SANTA AN</t>
  </si>
  <si>
    <t>127 NV SANTA ANA NOVICOMPU</t>
  </si>
  <si>
    <t>BCC51</t>
  </si>
  <si>
    <t>128 NV RACAR</t>
  </si>
  <si>
    <t>128 NV RACAR NV CUENCA</t>
  </si>
  <si>
    <t>BCC52</t>
  </si>
  <si>
    <t>129 NV EL COCA</t>
  </si>
  <si>
    <t>129 NOVICOMPU EL COCA</t>
  </si>
  <si>
    <t>BCC53</t>
  </si>
  <si>
    <t>130 NV ROTONDA</t>
  </si>
  <si>
    <t>BCC54</t>
  </si>
  <si>
    <t>131 NV OTAVALO</t>
  </si>
  <si>
    <t>BCC55</t>
  </si>
  <si>
    <t>132 NV CALCETA</t>
  </si>
  <si>
    <t>BCC56</t>
  </si>
  <si>
    <t>133 GN CITY MAL</t>
  </si>
  <si>
    <t>133 GN CITY MALL</t>
  </si>
  <si>
    <t>BCC57</t>
  </si>
  <si>
    <t xml:space="preserve">134 MOVIL TECH </t>
  </si>
  <si>
    <t xml:space="preserve">134 MOVIL TECH CITY MALL </t>
  </si>
  <si>
    <t>BCC58</t>
  </si>
  <si>
    <t>135 NV CENTRO H</t>
  </si>
  <si>
    <t>BCC59</t>
  </si>
  <si>
    <t xml:space="preserve">136 MOVIL TECH </t>
  </si>
  <si>
    <t>136 MOVIL TECH FORTIN</t>
  </si>
  <si>
    <t>BCC60</t>
  </si>
  <si>
    <t>137 NV LAGO AGR</t>
  </si>
  <si>
    <t>137 NV LAGO AGRIO</t>
  </si>
  <si>
    <t>BCC61</t>
  </si>
  <si>
    <t xml:space="preserve">138 NV JOYA DE </t>
  </si>
  <si>
    <t>138 NV JOYA DE LOS SACHAS</t>
  </si>
  <si>
    <t>BCC62</t>
  </si>
  <si>
    <t>139 NV CARMEN 2</t>
  </si>
  <si>
    <t>BCC63</t>
  </si>
  <si>
    <t>140 NV LAGUNA M</t>
  </si>
  <si>
    <t>140 NV LAGUNA MALL</t>
  </si>
  <si>
    <t>BCC64</t>
  </si>
  <si>
    <t>141 GN PLAZA MA</t>
  </si>
  <si>
    <t>141 GN PLAZA MAYOR</t>
  </si>
  <si>
    <t>BCC65</t>
  </si>
  <si>
    <t>142 NV ISLA REC</t>
  </si>
  <si>
    <t>142 NV ISLA RECREO 4</t>
  </si>
  <si>
    <t>BCC66</t>
  </si>
  <si>
    <t>143 NV PELILEO</t>
  </si>
  <si>
    <t>BCC67</t>
  </si>
  <si>
    <t>144 NV ARENILLA</t>
  </si>
  <si>
    <t>144 NV ARENILLAS</t>
  </si>
  <si>
    <t>BCC68</t>
  </si>
  <si>
    <t>145 NV AZOGUES</t>
  </si>
  <si>
    <t>BCC69</t>
  </si>
  <si>
    <t>146 IMP PORTAL</t>
  </si>
  <si>
    <t>BCC70</t>
  </si>
  <si>
    <t>147 NV PEDERNAL</t>
  </si>
  <si>
    <t>147 NV PEDERNALES</t>
  </si>
  <si>
    <t>BCC71</t>
  </si>
  <si>
    <t>148 NV SHUSHUFI</t>
  </si>
  <si>
    <t>148 NV SHUSHUFINDI</t>
  </si>
  <si>
    <t>BCC72</t>
  </si>
  <si>
    <t xml:space="preserve">149 NV QSUR 2 </t>
  </si>
  <si>
    <t>149 NV QUICENTRO SUR 2</t>
  </si>
  <si>
    <t>BCC73</t>
  </si>
  <si>
    <t>ADMIN IMP PORTA</t>
  </si>
  <si>
    <t>ADMIN IMP PORTAL</t>
  </si>
  <si>
    <t>BCC74</t>
  </si>
  <si>
    <t>ADMIN NVQSUR2</t>
  </si>
  <si>
    <t>ADMIN NV QUI SUR</t>
  </si>
  <si>
    <t>BCC75</t>
  </si>
  <si>
    <t>150 NV SANTA RO</t>
  </si>
  <si>
    <t>150 NV SANTA ROSA</t>
  </si>
  <si>
    <t>BCC76</t>
  </si>
  <si>
    <t xml:space="preserve">151 GN CARAC 2 </t>
  </si>
  <si>
    <t>151 GN CARACOL 2</t>
  </si>
  <si>
    <t>BCC77</t>
  </si>
  <si>
    <t>152 NV PASAJE</t>
  </si>
  <si>
    <t>BCC78</t>
  </si>
  <si>
    <t>153 NV CJ AROSE</t>
  </si>
  <si>
    <t>153 NV CJ AROSEMENA</t>
  </si>
  <si>
    <t>BCC79</t>
  </si>
  <si>
    <t>154 NV BATAN SH</t>
  </si>
  <si>
    <t>154 NV BATAN SHOPPING</t>
  </si>
  <si>
    <t>BCC80</t>
  </si>
  <si>
    <t>155 NV TERM TER</t>
  </si>
  <si>
    <t>155 NV TERM TERRESTRE GYE</t>
  </si>
  <si>
    <t>BCC81</t>
  </si>
  <si>
    <t>156 IMP DAULE</t>
  </si>
  <si>
    <t>BCC82</t>
  </si>
  <si>
    <t>157 NV SHOPPING</t>
  </si>
  <si>
    <t>157 NV SHOPPING AMBATO</t>
  </si>
  <si>
    <t>BCC83</t>
  </si>
  <si>
    <t>158 NV GRAN PIA</t>
  </si>
  <si>
    <t xml:space="preserve">158 NV GRAN PIAZZA MACHALA </t>
  </si>
  <si>
    <t>BCC84</t>
  </si>
  <si>
    <t>159 NV TRONCAL</t>
  </si>
  <si>
    <t>BCC85</t>
  </si>
  <si>
    <t>160 NV RECREO 3</t>
  </si>
  <si>
    <t>BCC86</t>
  </si>
  <si>
    <t>161 IMP TUMBACO</t>
  </si>
  <si>
    <t>BCC87</t>
  </si>
  <si>
    <t>162 ENV BOMBOLI</t>
  </si>
  <si>
    <t>BCC88</t>
  </si>
  <si>
    <t>163 IMP BOMBOLI</t>
  </si>
  <si>
    <t>BCC89</t>
  </si>
  <si>
    <t>164 NV BOMBOLI</t>
  </si>
  <si>
    <t>BCC90</t>
  </si>
  <si>
    <t>165 NV MALT. PL</t>
  </si>
  <si>
    <t>165 NV MALT. PLAZA LATACUNGA</t>
  </si>
  <si>
    <t>BCC91</t>
  </si>
  <si>
    <t>166 ENV FORTIN</t>
  </si>
  <si>
    <t>BCC92</t>
  </si>
  <si>
    <t>ADM NV SH AMB</t>
  </si>
  <si>
    <t>ADMIN 157 NV SHOPPING AMBATO</t>
  </si>
  <si>
    <t>BCC93</t>
  </si>
  <si>
    <t>ADMIN MALT. PLZ</t>
  </si>
  <si>
    <t>ADMIN NV MALT. PLAZA LATACUNGA</t>
  </si>
  <si>
    <t>BCC94</t>
  </si>
  <si>
    <t>ADMIN ENV BOMBO</t>
  </si>
  <si>
    <t>ADMIN ENV BOMBOLI</t>
  </si>
  <si>
    <t>BCC95</t>
  </si>
  <si>
    <t>ADMIN IMP BOMBO</t>
  </si>
  <si>
    <t>ADMIN IMP BOMBOLI</t>
  </si>
  <si>
    <t>BCC96</t>
  </si>
  <si>
    <t>ADMIN NV BOMBOL</t>
  </si>
  <si>
    <t>ADMIN NV BOMBOLI</t>
  </si>
  <si>
    <t>BCC97</t>
  </si>
  <si>
    <t xml:space="preserve">167 ENV RECREO </t>
  </si>
  <si>
    <t>167 ENV RECREO 1</t>
  </si>
  <si>
    <t>BCC98</t>
  </si>
  <si>
    <t xml:space="preserve">168 ENV RECREO </t>
  </si>
  <si>
    <t>168 ENV RECREO 2</t>
  </si>
  <si>
    <t>BCC99</t>
  </si>
  <si>
    <t xml:space="preserve">169 NV MERCADO </t>
  </si>
  <si>
    <t>169 NV MERCADO LIBRE</t>
  </si>
  <si>
    <t>CCC01</t>
  </si>
  <si>
    <t>170 NV MIRACIEL</t>
  </si>
  <si>
    <t>170 NV MIRACIELO</t>
  </si>
  <si>
    <t>CCC02</t>
  </si>
  <si>
    <t>171 NV HIPER MI</t>
  </si>
  <si>
    <t>171 NV HIPER MILAGRO</t>
  </si>
  <si>
    <t>CCC03</t>
  </si>
  <si>
    <t>172 NV CAYAMBE</t>
  </si>
  <si>
    <t>CCC04</t>
  </si>
  <si>
    <t>173 IMP C.J. AR</t>
  </si>
  <si>
    <t>173 IMP C.J. AROSEMENA</t>
  </si>
  <si>
    <t>CCC05</t>
  </si>
  <si>
    <t>174 ENV C.J. AR</t>
  </si>
  <si>
    <t>174 ENV C.J. AROSEMENA</t>
  </si>
  <si>
    <t>CCC06</t>
  </si>
  <si>
    <t>175 IMP T.TERRE</t>
  </si>
  <si>
    <t>175 IMP T.TERRESTRE</t>
  </si>
  <si>
    <t>COMPR</t>
  </si>
  <si>
    <t>COMPRAS</t>
  </si>
  <si>
    <t>DEPARTAMENTO COMPRAS</t>
  </si>
  <si>
    <t>CONTA</t>
  </si>
  <si>
    <t>CONTABILIDAD</t>
  </si>
  <si>
    <t>DEPARTAMENTO CONTABILIDAD</t>
  </si>
  <si>
    <t>ECOMM</t>
  </si>
  <si>
    <t>E-COMMERCE</t>
  </si>
  <si>
    <t>COMERCIO ELECTRONICO</t>
  </si>
  <si>
    <t>GECOM</t>
  </si>
  <si>
    <t>GER COMERCIAL</t>
  </si>
  <si>
    <t>GERENCIA COMERCIAL</t>
  </si>
  <si>
    <t>GRGEN</t>
  </si>
  <si>
    <t>GER GENERAL</t>
  </si>
  <si>
    <t>GERENCIA CGENERAL</t>
  </si>
  <si>
    <t>IMPOR</t>
  </si>
  <si>
    <t>IMPORTACIONES</t>
  </si>
  <si>
    <t>DEPARTAMENTO IMPORTACIONES</t>
  </si>
  <si>
    <t>INFRA</t>
  </si>
  <si>
    <t>INFRAESTRUCTURA</t>
  </si>
  <si>
    <t>DEPARTAMENTO DE INFRAESTRUCTURA Y MANTENIMIENTO</t>
  </si>
  <si>
    <t>MARKE</t>
  </si>
  <si>
    <t>MARKETING</t>
  </si>
  <si>
    <t>DEPARTAMENTO MARKETING</t>
  </si>
  <si>
    <t>PRESI</t>
  </si>
  <si>
    <t>PRESIDENCIA</t>
  </si>
  <si>
    <t>RRHH</t>
  </si>
  <si>
    <t>REC HUMANOS</t>
  </si>
  <si>
    <t>RECURSOS HUMANOS</t>
  </si>
  <si>
    <t>TECMT</t>
  </si>
  <si>
    <t>TECNICO MANTA</t>
  </si>
  <si>
    <t>DEPARTAMENTO TECNICO MANTA</t>
  </si>
  <si>
    <t>TECNG</t>
  </si>
  <si>
    <t>TECNICOS GYE</t>
  </si>
  <si>
    <t>DEPARTAMENTO TECNICO GUAYAQUIL</t>
  </si>
  <si>
    <t>TECNI</t>
  </si>
  <si>
    <t>TECNICOS UIO</t>
  </si>
  <si>
    <t>DEPARTAMENTO TECNICO QUITO</t>
  </si>
  <si>
    <t>TECNP</t>
  </si>
  <si>
    <t>TECNICOS PORTOV</t>
  </si>
  <si>
    <t>SERVICIO TECNICO PORTOVIEJO</t>
  </si>
  <si>
    <t>TECPT</t>
  </si>
  <si>
    <t>DEPARTAMENTO TECNICO PORTOVIEJO</t>
  </si>
  <si>
    <t>VTMAY</t>
  </si>
  <si>
    <t>VENTAS X MAYOR</t>
  </si>
  <si>
    <t>DEPARTAMENTO VENTAS AL POR MAYOR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</si>
</sst>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0_);_(* \(#,##0.00\);_(* &quot;-&quot;??_);_(@_)"/>
    <numFmt numFmtId="167" formatCode="[$-F800]dddd\,\ mmmm\ dd\,\ yyyy"/>
    <numFmt numFmtId="168" formatCode="&quot;IVA&quot;\ 0%"/>
  </numFmts>
  <fonts count="22">
    <font>
      <sz val="11"/>
      <color theme="1"/>
      <name val="Calibri"/>
      <charset val="134"/>
      <scheme val="minor"/>
    </font>
    <font>
      <b/>
      <sz val="10"/>
      <color rgb="FFFFFFFF"/>
      <name val="Calibri"/>
      <family val="2"/>
    </font>
    <font>
      <b/>
      <sz val="11"/>
      <color theme="1"/>
      <name val="Calibri"/>
      <family val="2"/>
      <scheme val="minor"/>
    </font>
    <font>
      <sz val="11"/>
      <color theme="0"/>
      <name val="Calibri"/>
      <family val="2"/>
      <scheme val="minor"/>
    </font>
    <font>
      <b/>
      <sz val="16"/>
      <color theme="0"/>
      <name val="Calibri"/>
      <family val="2"/>
      <scheme val="minor"/>
    </font>
    <font>
      <b/>
      <sz val="12"/>
      <color theme="0"/>
      <name val="Calibri"/>
      <family val="2"/>
      <scheme val="minor"/>
    </font>
    <font>
      <b/>
      <sz val="14"/>
      <color theme="0"/>
      <name val="Calibri"/>
      <family val="2"/>
      <scheme val="minor"/>
    </font>
    <font>
      <b/>
      <sz val="11"/>
      <color theme="0"/>
      <name val="Calibri"/>
      <family val="2"/>
      <scheme val="minor"/>
    </font>
    <font>
      <sz val="14"/>
      <color theme="0"/>
      <name val="Calibri"/>
      <family val="2"/>
      <scheme val="minor"/>
    </font>
    <font>
      <sz val="11"/>
      <name val="Calibri"/>
      <family val="2"/>
      <scheme val="minor"/>
    </font>
    <font>
      <b/>
      <sz val="12"/>
      <color theme="1"/>
      <name val="Calibri"/>
      <family val="2"/>
      <scheme val="minor"/>
    </font>
    <font>
      <sz val="16"/>
      <color theme="0"/>
      <name val="Calibri"/>
      <family val="2"/>
      <scheme val="minor"/>
    </font>
    <font>
      <b/>
      <sz val="14"/>
      <color theme="1"/>
      <name val="Calibri"/>
      <family val="2"/>
      <scheme val="minor"/>
    </font>
    <font>
      <sz val="14"/>
      <color theme="1"/>
      <name val="Calibri"/>
      <family val="2"/>
      <scheme val="minor"/>
    </font>
    <font>
      <sz val="11"/>
      <color theme="1"/>
      <name val="Arial"/>
      <family val="2"/>
    </font>
    <font>
      <sz val="11"/>
      <color theme="0"/>
      <name val="Arial"/>
      <family val="2"/>
    </font>
    <font>
      <sz val="12"/>
      <color theme="0"/>
      <name val="Calibri"/>
      <family val="2"/>
      <scheme val="minor"/>
    </font>
    <font>
      <b/>
      <sz val="11"/>
      <color theme="0"/>
      <name val="Arial"/>
      <family val="2"/>
    </font>
    <font>
      <sz val="11"/>
      <color indexed="8"/>
      <name val="Calibri"/>
      <family val="2"/>
    </font>
    <font>
      <b/>
      <sz val="11"/>
      <color rgb="FFFF0000"/>
      <name val="Calibri"/>
      <family val="2"/>
      <scheme val="minor"/>
    </font>
    <font>
      <b/>
      <sz val="12"/>
      <color rgb="FFFF0000"/>
      <name val="Calibri"/>
      <family val="2"/>
      <scheme val="minor"/>
    </font>
    <font>
      <sz val="11"/>
      <color theme="1"/>
      <name val="Calibri"/>
      <family val="2"/>
      <scheme val="minor"/>
    </font>
  </fonts>
  <fills count="7">
    <fill>
      <patternFill patternType="none"/>
    </fill>
    <fill>
      <patternFill patternType="gray125"/>
    </fill>
    <fill>
      <patternFill patternType="solid">
        <fgColor rgb="FF003366"/>
        <bgColor rgb="FF003366"/>
      </patternFill>
    </fill>
    <fill>
      <patternFill patternType="solid">
        <fgColor theme="0"/>
        <bgColor indexed="64"/>
      </patternFill>
    </fill>
    <fill>
      <patternFill patternType="solid">
        <fgColor theme="4" tint="-0.499984740745262"/>
        <bgColor indexed="64"/>
      </patternFill>
    </fill>
    <fill>
      <patternFill patternType="solid">
        <fgColor rgb="FF0066FF"/>
        <bgColor indexed="64"/>
      </patternFill>
    </fill>
    <fill>
      <patternFill patternType="solid">
        <fgColor rgb="FFFFC0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s>
  <cellStyleXfs count="3">
    <xf numFmtId="0" fontId="0" fillId="0" borderId="0"/>
    <xf numFmtId="165" fontId="18" fillId="0" borderId="0" applyFont="0" applyFill="0" applyBorder="0" applyAlignment="0" applyProtection="0"/>
    <xf numFmtId="9" fontId="21" fillId="0" borderId="0" applyFont="0" applyFill="0" applyBorder="0" applyAlignment="0" applyProtection="0"/>
  </cellStyleXfs>
  <cellXfs count="88">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left" vertical="center"/>
    </xf>
    <xf numFmtId="0" fontId="2" fillId="0" borderId="0" xfId="0" applyFont="1" applyAlignment="1">
      <alignment horizontal="center" vertical="center" wrapText="1"/>
    </xf>
    <xf numFmtId="0" fontId="2" fillId="0" borderId="0" xfId="0" applyFont="1"/>
    <xf numFmtId="14" fontId="0" fillId="0" borderId="0" xfId="0" applyNumberFormat="1"/>
    <xf numFmtId="49" fontId="0" fillId="0" borderId="0" xfId="0" applyNumberFormat="1"/>
    <xf numFmtId="165" fontId="0" fillId="0" borderId="0" xfId="1" applyFont="1"/>
    <xf numFmtId="0" fontId="3" fillId="3" borderId="0" xfId="0" applyFont="1" applyFill="1"/>
    <xf numFmtId="14" fontId="3" fillId="3" borderId="0" xfId="0" applyNumberFormat="1" applyFont="1" applyFill="1"/>
    <xf numFmtId="49" fontId="3" fillId="3" borderId="0" xfId="0" applyNumberFormat="1" applyFont="1" applyFill="1"/>
    <xf numFmtId="165" fontId="3" fillId="3" borderId="0" xfId="1" applyFont="1" applyFill="1"/>
    <xf numFmtId="0" fontId="3" fillId="4" borderId="3" xfId="1" applyNumberFormat="1" applyFont="1" applyFill="1" applyBorder="1" applyAlignment="1">
      <alignment horizontal="center" vertical="center"/>
    </xf>
    <xf numFmtId="14" fontId="4" fillId="4" borderId="4" xfId="0" applyNumberFormat="1" applyFont="1" applyFill="1" applyBorder="1" applyAlignment="1">
      <alignment horizontal="centerContinuous"/>
    </xf>
    <xf numFmtId="49" fontId="3" fillId="4" borderId="4" xfId="0" applyNumberFormat="1" applyFont="1" applyFill="1" applyBorder="1" applyAlignment="1">
      <alignment horizontal="centerContinuous"/>
    </xf>
    <xf numFmtId="0" fontId="3" fillId="4" borderId="4" xfId="0" applyFont="1" applyFill="1" applyBorder="1" applyAlignment="1">
      <alignment horizontal="centerContinuous"/>
    </xf>
    <xf numFmtId="165" fontId="3" fillId="4" borderId="4" xfId="1" applyFont="1" applyFill="1" applyBorder="1" applyAlignment="1">
      <alignment horizontal="centerContinuous"/>
    </xf>
    <xf numFmtId="0" fontId="3" fillId="4" borderId="5" xfId="1" applyNumberFormat="1" applyFont="1" applyFill="1" applyBorder="1" applyAlignment="1">
      <alignment horizontal="center" vertical="center"/>
    </xf>
    <xf numFmtId="14" fontId="5" fillId="4" borderId="6" xfId="0" applyNumberFormat="1" applyFont="1" applyFill="1" applyBorder="1"/>
    <xf numFmtId="49" fontId="6" fillId="4" borderId="6" xfId="0" applyNumberFormat="1" applyFont="1" applyFill="1" applyBorder="1" applyProtection="1">
      <protection locked="0"/>
    </xf>
    <xf numFmtId="0" fontId="7" fillId="4" borderId="6" xfId="0" applyFont="1" applyFill="1" applyBorder="1"/>
    <xf numFmtId="165" fontId="3" fillId="4" borderId="6" xfId="1" applyFont="1" applyFill="1" applyBorder="1" applyProtection="1">
      <protection locked="0"/>
    </xf>
    <xf numFmtId="0" fontId="3" fillId="4" borderId="0" xfId="0" applyFont="1" applyFill="1" applyBorder="1"/>
    <xf numFmtId="165" fontId="6" fillId="4" borderId="6" xfId="1" applyFont="1" applyFill="1" applyBorder="1" applyAlignment="1">
      <alignment horizontal="centerContinuous"/>
    </xf>
    <xf numFmtId="165" fontId="8" fillId="4" borderId="6" xfId="1" applyFont="1" applyFill="1" applyBorder="1" applyAlignment="1">
      <alignment horizontal="centerContinuous"/>
    </xf>
    <xf numFmtId="0" fontId="3" fillId="4" borderId="6" xfId="0" applyFont="1" applyFill="1" applyBorder="1"/>
    <xf numFmtId="165" fontId="3" fillId="4" borderId="0" xfId="1" applyFont="1" applyFill="1" applyBorder="1"/>
    <xf numFmtId="167" fontId="3" fillId="4" borderId="6" xfId="1" applyNumberFormat="1" applyFont="1" applyFill="1" applyBorder="1" applyProtection="1">
      <protection locked="0"/>
    </xf>
    <xf numFmtId="0" fontId="6" fillId="4" borderId="6" xfId="0" applyFont="1" applyFill="1" applyBorder="1" applyAlignment="1">
      <alignment horizontal="center" vertical="center"/>
    </xf>
    <xf numFmtId="0" fontId="3" fillId="4" borderId="7" xfId="1" applyNumberFormat="1" applyFont="1" applyFill="1" applyBorder="1" applyAlignment="1">
      <alignment horizontal="center" vertical="center"/>
    </xf>
    <xf numFmtId="14" fontId="3" fillId="4" borderId="8" xfId="0" applyNumberFormat="1" applyFont="1" applyFill="1" applyBorder="1"/>
    <xf numFmtId="49" fontId="3" fillId="4" borderId="8" xfId="0" applyNumberFormat="1" applyFont="1" applyFill="1" applyBorder="1"/>
    <xf numFmtId="0" fontId="3" fillId="4" borderId="8" xfId="0" applyFont="1" applyFill="1" applyBorder="1"/>
    <xf numFmtId="165" fontId="3" fillId="4" borderId="8" xfId="1" applyFont="1" applyFill="1" applyBorder="1"/>
    <xf numFmtId="165" fontId="7" fillId="4" borderId="9" xfId="1" applyFont="1" applyFill="1" applyBorder="1" applyAlignment="1">
      <alignment horizontal="center" vertical="center" wrapText="1"/>
    </xf>
    <xf numFmtId="0" fontId="0" fillId="0" borderId="6" xfId="1" applyNumberFormat="1" applyFont="1" applyBorder="1" applyAlignment="1">
      <alignment horizontal="center" vertical="center"/>
    </xf>
    <xf numFmtId="14" fontId="0" fillId="0" borderId="6" xfId="1" applyNumberFormat="1" applyFont="1" applyBorder="1" applyProtection="1">
      <protection locked="0"/>
    </xf>
    <xf numFmtId="49" fontId="0" fillId="0" borderId="6" xfId="1" applyNumberFormat="1" applyFont="1" applyBorder="1" applyProtection="1">
      <protection locked="0"/>
    </xf>
    <xf numFmtId="165" fontId="0" fillId="0" borderId="6" xfId="1" applyFont="1" applyBorder="1" applyProtection="1">
      <protection locked="0"/>
    </xf>
    <xf numFmtId="0" fontId="0" fillId="0" borderId="0" xfId="1" applyNumberFormat="1" applyFont="1" applyAlignment="1">
      <alignment horizontal="center" vertical="center"/>
    </xf>
    <xf numFmtId="165" fontId="0" fillId="0" borderId="6" xfId="1" applyFont="1" applyBorder="1"/>
    <xf numFmtId="0" fontId="2" fillId="0" borderId="0" xfId="1" applyNumberFormat="1" applyFont="1" applyAlignment="1">
      <alignment horizontal="center" vertical="center"/>
    </xf>
    <xf numFmtId="14" fontId="2" fillId="0" borderId="0" xfId="0" applyNumberFormat="1" applyFont="1"/>
    <xf numFmtId="49" fontId="2" fillId="0" borderId="0" xfId="0" applyNumberFormat="1" applyFont="1"/>
    <xf numFmtId="165" fontId="5" fillId="5" borderId="6" xfId="1" applyFont="1" applyFill="1" applyBorder="1"/>
    <xf numFmtId="0" fontId="0" fillId="0" borderId="10" xfId="0" applyBorder="1"/>
    <xf numFmtId="165" fontId="0" fillId="0" borderId="10" xfId="1" applyFont="1" applyBorder="1"/>
    <xf numFmtId="165" fontId="3" fillId="4" borderId="12" xfId="1" applyFont="1" applyFill="1" applyBorder="1" applyAlignment="1">
      <alignment horizontal="centerContinuous"/>
    </xf>
    <xf numFmtId="0" fontId="0" fillId="0" borderId="0" xfId="0" applyAlignment="1">
      <alignment horizontal="centerContinuous"/>
    </xf>
    <xf numFmtId="165" fontId="9" fillId="0" borderId="0" xfId="0" applyNumberFormat="1" applyFont="1" applyAlignment="1">
      <alignment horizontal="centerContinuous"/>
    </xf>
    <xf numFmtId="165" fontId="7" fillId="4" borderId="6" xfId="1" applyFont="1" applyFill="1" applyBorder="1"/>
    <xf numFmtId="165" fontId="3" fillId="4" borderId="13" xfId="1" applyFont="1" applyFill="1" applyBorder="1"/>
    <xf numFmtId="165" fontId="3" fillId="4" borderId="14" xfId="1" applyFont="1" applyFill="1" applyBorder="1"/>
    <xf numFmtId="0" fontId="5" fillId="4" borderId="0" xfId="0" applyFont="1" applyFill="1" applyAlignment="1">
      <alignment horizontal="centerContinuous"/>
    </xf>
    <xf numFmtId="168" fontId="7" fillId="4" borderId="9" xfId="2" applyNumberFormat="1" applyFont="1" applyFill="1" applyBorder="1" applyAlignment="1">
      <alignment horizontal="center" vertical="center" wrapText="1"/>
    </xf>
    <xf numFmtId="165" fontId="7" fillId="5" borderId="6" xfId="1" applyFont="1" applyFill="1" applyBorder="1" applyAlignment="1">
      <alignment horizontal="center" vertical="center" wrapText="1"/>
    </xf>
    <xf numFmtId="165" fontId="10" fillId="0" borderId="6" xfId="1" applyFont="1" applyBorder="1"/>
    <xf numFmtId="0" fontId="2" fillId="0" borderId="6" xfId="0" applyFont="1" applyBorder="1"/>
    <xf numFmtId="165" fontId="2" fillId="0" borderId="6" xfId="1" applyFont="1" applyBorder="1"/>
    <xf numFmtId="0" fontId="5" fillId="5" borderId="6" xfId="0" applyFont="1" applyFill="1" applyBorder="1"/>
    <xf numFmtId="165" fontId="5" fillId="5" borderId="6" xfId="0" applyNumberFormat="1" applyFont="1" applyFill="1" applyBorder="1"/>
    <xf numFmtId="0" fontId="5" fillId="4" borderId="0" xfId="0" applyFont="1" applyFill="1"/>
    <xf numFmtId="165" fontId="0" fillId="0" borderId="9" xfId="1" applyFont="1" applyBorder="1" applyProtection="1">
      <protection locked="0"/>
    </xf>
    <xf numFmtId="165" fontId="5" fillId="4" borderId="0" xfId="1" applyFont="1" applyFill="1"/>
    <xf numFmtId="165" fontId="2" fillId="0" borderId="0" xfId="1" applyFont="1"/>
    <xf numFmtId="0" fontId="3" fillId="5" borderId="0" xfId="0" applyFont="1" applyFill="1" applyAlignment="1">
      <alignment horizontal="center"/>
    </xf>
    <xf numFmtId="0" fontId="5" fillId="4" borderId="0" xfId="0" applyFont="1" applyFill="1" applyAlignment="1">
      <alignment horizontal="center" vertical="center"/>
    </xf>
    <xf numFmtId="49" fontId="0" fillId="0" borderId="6" xfId="0" applyNumberFormat="1" applyBorder="1"/>
    <xf numFmtId="0" fontId="11" fillId="5" borderId="0" xfId="0" applyFont="1" applyFill="1" applyAlignment="1">
      <alignment horizontal="center" vertical="center"/>
    </xf>
    <xf numFmtId="0" fontId="12" fillId="0" borderId="0" xfId="0" applyFont="1"/>
    <xf numFmtId="0" fontId="6" fillId="5" borderId="6" xfId="0" applyFont="1" applyFill="1" applyBorder="1" applyAlignment="1">
      <alignment horizontal="center"/>
    </xf>
    <xf numFmtId="0" fontId="13" fillId="0" borderId="0" xfId="0" applyFont="1"/>
    <xf numFmtId="0" fontId="7" fillId="5" borderId="6" xfId="0" applyFont="1" applyFill="1" applyBorder="1" applyAlignment="1">
      <alignment horizontal="center" vertical="center"/>
    </xf>
    <xf numFmtId="49" fontId="0" fillId="0" borderId="6" xfId="0" applyNumberFormat="1" applyBorder="1" applyAlignment="1">
      <alignment wrapText="1"/>
    </xf>
    <xf numFmtId="49" fontId="7" fillId="5" borderId="0" xfId="0" applyNumberFormat="1" applyFont="1" applyFill="1" applyAlignment="1">
      <alignment horizontal="center"/>
    </xf>
    <xf numFmtId="49" fontId="0" fillId="0" borderId="0" xfId="0" applyNumberFormat="1" applyAlignment="1">
      <alignment wrapText="1"/>
    </xf>
    <xf numFmtId="0" fontId="6" fillId="5" borderId="0" xfId="0" applyFont="1" applyFill="1" applyAlignment="1">
      <alignment horizontal="center"/>
    </xf>
    <xf numFmtId="0" fontId="2" fillId="0" borderId="0" xfId="0" applyFont="1" applyAlignment="1">
      <alignment horizontal="center" vertical="center"/>
    </xf>
    <xf numFmtId="0" fontId="14" fillId="0" borderId="0" xfId="0" applyFont="1" applyAlignment="1">
      <alignment horizontal="left" vertical="center"/>
    </xf>
    <xf numFmtId="0" fontId="0" fillId="0" borderId="0" xfId="0" applyAlignment="1">
      <alignment horizontal="justify" vertical="justify" wrapText="1"/>
    </xf>
    <xf numFmtId="0" fontId="15" fillId="4" borderId="0" xfId="0" applyFont="1" applyFill="1" applyAlignment="1">
      <alignment horizontal="left" vertical="center"/>
    </xf>
    <xf numFmtId="0" fontId="0" fillId="6" borderId="0" xfId="0" applyFill="1" applyAlignment="1">
      <alignment horizontal="justify" vertical="justify" wrapText="1"/>
    </xf>
    <xf numFmtId="0" fontId="16" fillId="5" borderId="0" xfId="0" applyFont="1" applyFill="1" applyAlignment="1">
      <alignment horizontal="justify" vertical="justify" wrapText="1"/>
    </xf>
    <xf numFmtId="0" fontId="17" fillId="4" borderId="0" xfId="0" applyFont="1" applyFill="1" applyAlignment="1">
      <alignment horizontal="center" vertical="center"/>
    </xf>
    <xf numFmtId="0" fontId="17" fillId="4" borderId="0" xfId="0" applyFont="1" applyFill="1" applyAlignment="1">
      <alignment horizontal="center" vertical="justify" wrapText="1"/>
    </xf>
    <xf numFmtId="0" fontId="3" fillId="5" borderId="0" xfId="0" applyFont="1" applyFill="1" applyAlignment="1">
      <alignment horizontal="justify" vertical="justify" wrapText="1"/>
    </xf>
    <xf numFmtId="165" fontId="0" fillId="0" borderId="11" xfId="1" applyFont="1" applyBorder="1" applyAlignment="1" applyProtection="1">
      <alignment horizontal="center"/>
      <protection locked="0"/>
    </xf>
    <xf numFmtId="165" fontId="0" fillId="0" borderId="0" xfId="1" applyFont="1" applyBorder="1" applyAlignment="1" applyProtection="1">
      <alignment horizontal="center"/>
      <protection locked="0"/>
    </xf>
  </cellXfs>
  <cellStyles count="3">
    <cellStyle name="Millares" xfId="1" builtinId="3"/>
    <cellStyle name="Normal" xfId="0" builtinId="0"/>
    <cellStyle name="Porcentaje" xfId="2" builtinId="5"/>
  </cellStyles>
  <dxfs count="7">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2" defaultPivotStyle="PivotStyleLight16"/>
  <colors>
    <mruColors>
      <color rgb="FF0066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30480</xdr:colOff>
      <xdr:row>0</xdr:row>
      <xdr:rowOff>0</xdr:rowOff>
    </xdr:from>
    <xdr:to>
      <xdr:col>8</xdr:col>
      <xdr:colOff>6626</xdr:colOff>
      <xdr:row>21</xdr:row>
      <xdr:rowOff>13252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843" r="16961"/>
        <a:stretch>
          <a:fillRect/>
        </a:stretch>
      </xdr:blipFill>
      <xdr:spPr>
        <a:xfrm>
          <a:off x="8382000" y="0"/>
          <a:ext cx="4502150" cy="5339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4</xdr:col>
      <xdr:colOff>2392680</xdr:colOff>
      <xdr:row>0</xdr:row>
      <xdr:rowOff>422707</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00" y="0"/>
          <a:ext cx="2392680" cy="4222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21"/>
  <sheetViews>
    <sheetView zoomScale="115" zoomScaleNormal="115" workbookViewId="0">
      <selection activeCell="A9" sqref="A9"/>
    </sheetView>
  </sheetViews>
  <sheetFormatPr baseColWidth="10" defaultColWidth="11" defaultRowHeight="14.4"/>
  <cols>
    <col min="1" max="1" width="45.77734375" style="78" customWidth="1"/>
    <col min="2" max="2" width="76" style="79" customWidth="1"/>
  </cols>
  <sheetData>
    <row r="1" spans="1:2">
      <c r="A1" s="80" t="s">
        <v>0</v>
      </c>
      <c r="B1" s="81" t="s">
        <v>1</v>
      </c>
    </row>
    <row r="2" spans="1:2" ht="78">
      <c r="A2" s="80" t="s">
        <v>2</v>
      </c>
      <c r="B2" s="82" t="s">
        <v>3</v>
      </c>
    </row>
    <row r="3" spans="1:2" ht="4.2" customHeight="1"/>
    <row r="4" spans="1:2" s="77" customFormat="1">
      <c r="A4" s="83" t="s">
        <v>4</v>
      </c>
      <c r="B4" s="84" t="s">
        <v>5</v>
      </c>
    </row>
    <row r="5" spans="1:2">
      <c r="A5" s="80" t="s">
        <v>6</v>
      </c>
      <c r="B5" s="85" t="s">
        <v>7</v>
      </c>
    </row>
    <row r="6" spans="1:2">
      <c r="A6" s="80" t="s">
        <v>8</v>
      </c>
      <c r="B6" s="85" t="s">
        <v>9</v>
      </c>
    </row>
    <row r="7" spans="1:2">
      <c r="A7" s="80" t="s">
        <v>10</v>
      </c>
      <c r="B7" s="85" t="s">
        <v>9</v>
      </c>
    </row>
    <row r="8" spans="1:2">
      <c r="A8" s="80" t="s">
        <v>11</v>
      </c>
      <c r="B8" s="85" t="s">
        <v>12</v>
      </c>
    </row>
    <row r="9" spans="1:2">
      <c r="A9" s="80" t="s">
        <v>13</v>
      </c>
      <c r="B9" s="85" t="s">
        <v>14</v>
      </c>
    </row>
    <row r="10" spans="1:2">
      <c r="A10" s="80" t="s">
        <v>15</v>
      </c>
      <c r="B10" s="85" t="s">
        <v>16</v>
      </c>
    </row>
    <row r="11" spans="1:2" ht="5.4" customHeight="1"/>
    <row r="12" spans="1:2">
      <c r="A12" s="80" t="s">
        <v>17</v>
      </c>
      <c r="B12" s="85" t="s">
        <v>18</v>
      </c>
    </row>
    <row r="13" spans="1:2">
      <c r="A13" s="80" t="s">
        <v>19</v>
      </c>
      <c r="B13" s="85" t="s">
        <v>20</v>
      </c>
    </row>
    <row r="14" spans="1:2" ht="28.8">
      <c r="A14" s="80" t="s">
        <v>21</v>
      </c>
      <c r="B14" s="85" t="s">
        <v>22</v>
      </c>
    </row>
    <row r="15" spans="1:2" ht="28.8">
      <c r="A15" s="80" t="s">
        <v>23</v>
      </c>
      <c r="B15" s="85" t="s">
        <v>24</v>
      </c>
    </row>
    <row r="16" spans="1:2">
      <c r="A16" s="80" t="s">
        <v>25</v>
      </c>
      <c r="B16" s="85" t="s">
        <v>26</v>
      </c>
    </row>
    <row r="17" spans="1:2" ht="43.2">
      <c r="A17" s="80" t="s">
        <v>27</v>
      </c>
      <c r="B17" s="85" t="s">
        <v>28</v>
      </c>
    </row>
    <row r="18" spans="1:2" ht="43.2">
      <c r="A18" s="80" t="s">
        <v>29</v>
      </c>
      <c r="B18" s="85" t="s">
        <v>30</v>
      </c>
    </row>
    <row r="19" spans="1:2">
      <c r="A19" s="80" t="s">
        <v>31</v>
      </c>
      <c r="B19" s="85" t="s">
        <v>32</v>
      </c>
    </row>
    <row r="20" spans="1:2">
      <c r="A20" s="80" t="s">
        <v>33</v>
      </c>
      <c r="B20" s="85" t="s">
        <v>34</v>
      </c>
    </row>
    <row r="21" spans="1:2">
      <c r="A21" s="80" t="s">
        <v>35</v>
      </c>
      <c r="B21" s="85" t="s">
        <v>34</v>
      </c>
    </row>
  </sheetData>
  <sheetProtection algorithmName="SHA-512" hashValue="IHxYi4ae1SewgmcoVEZzVOMEKKxp2DWeJLE0JTveJ8uQ7q5AifH4gyFCV4nRcMFqCjiEFR6GCorVEKCBvEqKyg==" saltValue="D9RAi0chDdzCPdZ1H6oyfA=="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11"/>
  <sheetViews>
    <sheetView workbookViewId="0">
      <selection activeCell="D16" sqref="D16"/>
    </sheetView>
  </sheetViews>
  <sheetFormatPr baseColWidth="10" defaultColWidth="11" defaultRowHeight="14.4"/>
  <cols>
    <col min="1" max="1" width="18.88671875" customWidth="1"/>
  </cols>
  <sheetData>
    <row r="1" spans="1:1">
      <c r="A1" t="s">
        <v>36</v>
      </c>
    </row>
    <row r="2" spans="1:1">
      <c r="A2" t="s">
        <v>37</v>
      </c>
    </row>
    <row r="3" spans="1:1">
      <c r="A3" t="s">
        <v>38</v>
      </c>
    </row>
    <row r="4" spans="1:1">
      <c r="A4" t="s">
        <v>39</v>
      </c>
    </row>
    <row r="5" spans="1:1">
      <c r="A5" t="s">
        <v>40</v>
      </c>
    </row>
    <row r="6" spans="1:1">
      <c r="A6" t="s">
        <v>41</v>
      </c>
    </row>
    <row r="7" spans="1:1">
      <c r="A7" t="s">
        <v>42</v>
      </c>
    </row>
    <row r="8" spans="1:1">
      <c r="A8" t="s">
        <v>43</v>
      </c>
    </row>
    <row r="9" spans="1:1">
      <c r="A9" t="s">
        <v>44</v>
      </c>
    </row>
    <row r="10" spans="1:1">
      <c r="A10" t="s">
        <v>45</v>
      </c>
    </row>
    <row r="11" spans="1:1">
      <c r="A11" t="s">
        <v>46</v>
      </c>
    </row>
  </sheetData>
  <sortState xmlns:xlrd2="http://schemas.microsoft.com/office/spreadsheetml/2017/richdata2" ref="A1:A9">
    <sortCondition ref="A1:A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dimension ref="A1:A33"/>
  <sheetViews>
    <sheetView workbookViewId="0">
      <selection activeCell="A4" sqref="A4"/>
    </sheetView>
  </sheetViews>
  <sheetFormatPr baseColWidth="10" defaultColWidth="11" defaultRowHeight="14.4"/>
  <cols>
    <col min="1" max="1" width="191" customWidth="1"/>
  </cols>
  <sheetData>
    <row r="1" spans="1:1" ht="15.6">
      <c r="A1" s="66" t="s">
        <v>47</v>
      </c>
    </row>
    <row r="2" spans="1:1">
      <c r="A2" s="67" t="s">
        <v>48</v>
      </c>
    </row>
    <row r="3" spans="1:1">
      <c r="A3" s="67" t="s">
        <v>49</v>
      </c>
    </row>
    <row r="4" spans="1:1">
      <c r="A4" s="67" t="s">
        <v>50</v>
      </c>
    </row>
    <row r="6" spans="1:1" ht="21">
      <c r="A6" s="68" t="s">
        <v>51</v>
      </c>
    </row>
    <row r="7" spans="1:1" ht="18">
      <c r="A7" s="69"/>
    </row>
    <row r="8" spans="1:1" ht="18">
      <c r="A8" s="70" t="s">
        <v>52</v>
      </c>
    </row>
    <row r="9" spans="1:1">
      <c r="A9" s="67" t="s">
        <v>53</v>
      </c>
    </row>
    <row r="10" spans="1:1">
      <c r="A10" s="67" t="s">
        <v>54</v>
      </c>
    </row>
    <row r="11" spans="1:1">
      <c r="A11" s="67" t="s">
        <v>55</v>
      </c>
    </row>
    <row r="12" spans="1:1">
      <c r="A12" s="67" t="s">
        <v>56</v>
      </c>
    </row>
    <row r="13" spans="1:1">
      <c r="A13" s="67" t="s">
        <v>57</v>
      </c>
    </row>
    <row r="14" spans="1:1">
      <c r="A14" s="67" t="s">
        <v>58</v>
      </c>
    </row>
    <row r="15" spans="1:1">
      <c r="A15" s="67" t="s">
        <v>59</v>
      </c>
    </row>
    <row r="16" spans="1:1" ht="18">
      <c r="A16" s="71"/>
    </row>
    <row r="17" spans="1:1">
      <c r="A17" s="72" t="s">
        <v>60</v>
      </c>
    </row>
    <row r="18" spans="1:1" ht="28.8">
      <c r="A18" s="73" t="s">
        <v>61</v>
      </c>
    </row>
    <row r="19" spans="1:1">
      <c r="A19" s="67" t="s">
        <v>62</v>
      </c>
    </row>
    <row r="20" spans="1:1">
      <c r="A20" s="67" t="s">
        <v>63</v>
      </c>
    </row>
    <row r="21" spans="1:1">
      <c r="A21" s="74" t="s">
        <v>64</v>
      </c>
    </row>
    <row r="22" spans="1:1">
      <c r="A22" s="6" t="s">
        <v>65</v>
      </c>
    </row>
    <row r="23" spans="1:1">
      <c r="A23" s="6" t="s">
        <v>66</v>
      </c>
    </row>
    <row r="24" spans="1:1" ht="28.8">
      <c r="A24" s="75" t="s">
        <v>67</v>
      </c>
    </row>
    <row r="25" spans="1:1">
      <c r="A25" s="6"/>
    </row>
    <row r="26" spans="1:1" s="65" customFormat="1" ht="18">
      <c r="A26" s="76" t="s">
        <v>68</v>
      </c>
    </row>
    <row r="27" spans="1:1">
      <c r="A27" s="6" t="s">
        <v>69</v>
      </c>
    </row>
    <row r="28" spans="1:1">
      <c r="A28" s="6" t="s">
        <v>70</v>
      </c>
    </row>
    <row r="31" spans="1:1">
      <c r="A31" t="s">
        <v>71</v>
      </c>
    </row>
    <row r="32" spans="1:1">
      <c r="A32" t="s">
        <v>72</v>
      </c>
    </row>
    <row r="33" spans="1:1">
      <c r="A33" t="s">
        <v>73</v>
      </c>
    </row>
  </sheetData>
  <sheetProtection algorithmName="SHA-512" hashValue="APyLlCBFsDW36mnTsodxZWDHfclgjFSA4REskjCxEpC7eYsLaB0korYQRI6+ivWY/fSLD9ZY41c99bIT6hoc3A==" saltValue="iFdGHDiTnwlXMqyTlbAT7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44"/>
  <sheetViews>
    <sheetView showGridLines="0" tabSelected="1" view="pageBreakPreview" zoomScaleNormal="100" workbookViewId="0">
      <pane xSplit="5" ySplit="7" topLeftCell="F8" activePane="bottomRight" state="frozen"/>
      <selection pane="topRight"/>
      <selection pane="bottomLeft"/>
      <selection pane="bottomRight" activeCell="E10" sqref="E10"/>
    </sheetView>
  </sheetViews>
  <sheetFormatPr baseColWidth="10" defaultColWidth="11" defaultRowHeight="14.4"/>
  <cols>
    <col min="1" max="1" width="5.6640625" customWidth="1"/>
    <col min="2" max="2" width="19.5546875" style="5" customWidth="1"/>
    <col min="3" max="3" width="29.33203125" style="6" customWidth="1"/>
    <col min="4" max="4" width="28.77734375" customWidth="1"/>
    <col min="5" max="5" width="35.6640625" customWidth="1"/>
    <col min="6" max="6" width="20" customWidth="1"/>
    <col min="7" max="8" width="10.77734375" style="7" customWidth="1"/>
    <col min="9" max="9" width="13.109375" style="7" customWidth="1"/>
    <col min="10" max="10" width="8.33203125" style="7" customWidth="1"/>
    <col min="11" max="11" width="1.21875" customWidth="1"/>
    <col min="12" max="12" width="22.5546875" customWidth="1"/>
    <col min="13" max="14" width="10.33203125" customWidth="1"/>
    <col min="15" max="15" width="9.44140625" customWidth="1"/>
    <col min="16" max="16" width="12.33203125" customWidth="1"/>
  </cols>
  <sheetData>
    <row r="1" spans="1:16" ht="34.799999999999997" customHeight="1">
      <c r="A1" s="8"/>
      <c r="B1" s="9"/>
      <c r="C1" s="10"/>
      <c r="D1" s="8"/>
      <c r="E1" s="8"/>
      <c r="F1" s="8"/>
      <c r="G1" s="11"/>
      <c r="H1" s="11"/>
      <c r="I1" s="11"/>
      <c r="J1" s="11"/>
    </row>
    <row r="2" spans="1:16" ht="21">
      <c r="A2" s="12"/>
      <c r="B2" s="13" t="s">
        <v>74</v>
      </c>
      <c r="C2" s="14"/>
      <c r="D2" s="15"/>
      <c r="E2" s="15"/>
      <c r="F2" s="15"/>
      <c r="G2" s="16"/>
      <c r="H2" s="16"/>
      <c r="I2" s="16"/>
      <c r="J2" s="47"/>
      <c r="K2" s="48"/>
      <c r="L2" s="49">
        <f>SUM(G:G)</f>
        <v>0</v>
      </c>
      <c r="M2" s="48"/>
      <c r="N2" s="48"/>
      <c r="O2" s="48"/>
      <c r="P2" s="48"/>
    </row>
    <row r="3" spans="1:16" ht="18">
      <c r="A3" s="17"/>
      <c r="B3" s="18" t="s">
        <v>6</v>
      </c>
      <c r="C3" s="19" t="s">
        <v>75</v>
      </c>
      <c r="D3" s="20" t="s">
        <v>11</v>
      </c>
      <c r="E3" s="21" t="s">
        <v>76</v>
      </c>
      <c r="F3" s="22"/>
      <c r="G3" s="23" t="s">
        <v>15</v>
      </c>
      <c r="H3" s="24"/>
      <c r="I3" s="50" t="str">
        <f>CONCATENATE(C3,"-",E5)</f>
        <v>BCC21-18/FEBRERO/2026</v>
      </c>
      <c r="J3" s="51"/>
    </row>
    <row r="4" spans="1:16" ht="15.6">
      <c r="A4" s="17"/>
      <c r="B4" s="18" t="s">
        <v>8</v>
      </c>
      <c r="C4" s="25" t="str">
        <f>+_xlfn.XLOOKUP(C3,CENTRO_COSTOS!B:B,CENTRO_COSTOS!C:C)</f>
        <v>100 NV EL CARME</v>
      </c>
      <c r="D4" s="25"/>
      <c r="E4" s="25"/>
      <c r="F4" s="22"/>
      <c r="G4" s="26"/>
      <c r="H4" s="26"/>
      <c r="I4" s="26"/>
      <c r="J4" s="51"/>
    </row>
    <row r="5" spans="1:16" ht="18">
      <c r="A5" s="17"/>
      <c r="B5" s="18" t="s">
        <v>10</v>
      </c>
      <c r="C5" s="25" t="str">
        <f>+_xlfn.XLOOKUP(C3,CENTRO_COSTOS!B:B,CENTRO_COSTOS!D:D)</f>
        <v>SUCURSAL NOVICOMPU EL CARMEN</v>
      </c>
      <c r="D5" s="20" t="s">
        <v>77</v>
      </c>
      <c r="E5" s="27" t="s">
        <v>78</v>
      </c>
      <c r="F5" s="28" t="str">
        <f>TEXT(E5,"MMMM")</f>
        <v>18/FEBRERO/2026</v>
      </c>
      <c r="G5" s="26"/>
      <c r="H5" s="26"/>
      <c r="I5" s="26"/>
      <c r="J5" s="51"/>
    </row>
    <row r="6" spans="1:16" ht="15.6">
      <c r="A6" s="29"/>
      <c r="B6" s="30"/>
      <c r="C6" s="31"/>
      <c r="D6" s="32"/>
      <c r="E6" s="32"/>
      <c r="F6" s="32"/>
      <c r="G6" s="33"/>
      <c r="H6" s="33"/>
      <c r="I6" s="33"/>
      <c r="J6" s="52"/>
      <c r="L6" s="53" t="s">
        <v>79</v>
      </c>
      <c r="M6" s="53"/>
      <c r="N6" s="53"/>
      <c r="O6" s="53"/>
      <c r="P6" s="53"/>
    </row>
    <row r="7" spans="1:16" s="3" customFormat="1" ht="28.8">
      <c r="A7" s="34" t="s">
        <v>17</v>
      </c>
      <c r="B7" s="34" t="s">
        <v>19</v>
      </c>
      <c r="C7" s="34" t="s">
        <v>21</v>
      </c>
      <c r="D7" s="34" t="s">
        <v>23</v>
      </c>
      <c r="E7" s="34" t="s">
        <v>25</v>
      </c>
      <c r="F7" s="34" t="s">
        <v>27</v>
      </c>
      <c r="G7" s="34" t="s">
        <v>80</v>
      </c>
      <c r="H7" s="34" t="s">
        <v>81</v>
      </c>
      <c r="I7" s="54">
        <v>0.15</v>
      </c>
      <c r="J7" s="34" t="s">
        <v>35</v>
      </c>
      <c r="L7" s="55" t="s">
        <v>82</v>
      </c>
      <c r="M7" s="55" t="s">
        <v>83</v>
      </c>
      <c r="N7" s="55" t="s">
        <v>84</v>
      </c>
      <c r="O7" s="55" t="s">
        <v>85</v>
      </c>
      <c r="P7" s="55" t="s">
        <v>35</v>
      </c>
    </row>
    <row r="8" spans="1:16" ht="15.6">
      <c r="A8" s="35">
        <v>1</v>
      </c>
      <c r="B8" s="36"/>
      <c r="C8" s="37"/>
      <c r="D8" s="38"/>
      <c r="E8" s="38"/>
      <c r="F8" s="38"/>
      <c r="G8" s="38"/>
      <c r="H8" s="38"/>
      <c r="I8" s="40">
        <f t="shared" ref="I8:I18" si="0">+IF(H8&gt;0,($I$7*H8),0)</f>
        <v>0</v>
      </c>
      <c r="J8" s="56">
        <f>+G8+H8+I8</f>
        <v>0</v>
      </c>
      <c r="L8" s="57" t="s">
        <v>36</v>
      </c>
      <c r="M8" s="40">
        <f>+SUMIFS(G:G,F:F,L8)</f>
        <v>0</v>
      </c>
      <c r="N8" s="40">
        <f>+SUMIFS(H:H,F:F,L8)</f>
        <v>0</v>
      </c>
      <c r="O8" s="40">
        <f>+SUMIFS(I:I,F:F,L8)</f>
        <v>0</v>
      </c>
      <c r="P8" s="58">
        <f t="shared" ref="P8:P20" si="1">+SUMIFS(J:J,F:F,L8)</f>
        <v>0</v>
      </c>
    </row>
    <row r="9" spans="1:16" ht="15.6">
      <c r="A9" s="35" t="str">
        <f>+IF(B9&lt;&gt;"",A8+1,"")</f>
        <v/>
      </c>
      <c r="B9" s="36"/>
      <c r="C9" s="37"/>
      <c r="D9" s="38"/>
      <c r="E9" s="38"/>
      <c r="F9" s="38"/>
      <c r="G9" s="38"/>
      <c r="H9" s="38"/>
      <c r="I9" s="40">
        <f t="shared" si="0"/>
        <v>0</v>
      </c>
      <c r="J9" s="56">
        <f t="shared" ref="J9:J37" si="2">+G9+H9+I9</f>
        <v>0</v>
      </c>
      <c r="L9" s="57" t="s">
        <v>37</v>
      </c>
      <c r="M9" s="40">
        <f t="shared" ref="M9:M20" si="3">+SUMIFS(G:G,F:F,L9)</f>
        <v>0</v>
      </c>
      <c r="N9" s="40">
        <f t="shared" ref="N9:N20" si="4">+SUMIFS(H:H,F:F,L9)</f>
        <v>0</v>
      </c>
      <c r="O9" s="40">
        <f t="shared" ref="O9:O20" si="5">+SUMIFS(I:I,F:F,L9)</f>
        <v>0</v>
      </c>
      <c r="P9" s="58">
        <f t="shared" si="1"/>
        <v>0</v>
      </c>
    </row>
    <row r="10" spans="1:16" ht="15.6">
      <c r="A10" s="35" t="str">
        <f t="shared" ref="A10:A37" si="6">+IF(B10&lt;&gt;"",A9+1,"")</f>
        <v/>
      </c>
      <c r="B10" s="36"/>
      <c r="C10" s="37"/>
      <c r="D10" s="38"/>
      <c r="E10" s="38"/>
      <c r="F10" s="38"/>
      <c r="G10" s="38"/>
      <c r="H10" s="38"/>
      <c r="I10" s="40">
        <f t="shared" si="0"/>
        <v>0</v>
      </c>
      <c r="J10" s="56">
        <f t="shared" si="2"/>
        <v>0</v>
      </c>
      <c r="L10" s="57" t="s">
        <v>38</v>
      </c>
      <c r="M10" s="40">
        <f t="shared" si="3"/>
        <v>0</v>
      </c>
      <c r="N10" s="40">
        <f t="shared" si="4"/>
        <v>0</v>
      </c>
      <c r="O10" s="40">
        <f t="shared" si="5"/>
        <v>0</v>
      </c>
      <c r="P10" s="58">
        <f t="shared" si="1"/>
        <v>0</v>
      </c>
    </row>
    <row r="11" spans="1:16" ht="15.6">
      <c r="A11" s="35" t="str">
        <f t="shared" si="6"/>
        <v/>
      </c>
      <c r="B11" s="36"/>
      <c r="C11" s="37"/>
      <c r="D11" s="38"/>
      <c r="E11" s="38"/>
      <c r="F11" s="38"/>
      <c r="G11" s="38"/>
      <c r="H11" s="38"/>
      <c r="I11" s="40">
        <f t="shared" si="0"/>
        <v>0</v>
      </c>
      <c r="J11" s="56">
        <f t="shared" si="2"/>
        <v>0</v>
      </c>
      <c r="L11" s="57" t="s">
        <v>39</v>
      </c>
      <c r="M11" s="40">
        <f t="shared" si="3"/>
        <v>0</v>
      </c>
      <c r="N11" s="40">
        <f t="shared" si="4"/>
        <v>0</v>
      </c>
      <c r="O11" s="40">
        <f t="shared" si="5"/>
        <v>0</v>
      </c>
      <c r="P11" s="58">
        <f t="shared" si="1"/>
        <v>0</v>
      </c>
    </row>
    <row r="12" spans="1:16" ht="15.6">
      <c r="A12" s="35" t="str">
        <f t="shared" si="6"/>
        <v/>
      </c>
      <c r="B12" s="36"/>
      <c r="C12" s="37"/>
      <c r="D12" s="38"/>
      <c r="E12" s="38"/>
      <c r="F12" s="38"/>
      <c r="G12" s="38"/>
      <c r="H12" s="38"/>
      <c r="I12" s="40">
        <f t="shared" si="0"/>
        <v>0</v>
      </c>
      <c r="J12" s="56">
        <f t="shared" si="2"/>
        <v>0</v>
      </c>
      <c r="L12" s="57" t="s">
        <v>40</v>
      </c>
      <c r="M12" s="40">
        <f t="shared" si="3"/>
        <v>0</v>
      </c>
      <c r="N12" s="40">
        <f t="shared" si="4"/>
        <v>0</v>
      </c>
      <c r="O12" s="40">
        <f t="shared" si="5"/>
        <v>0</v>
      </c>
      <c r="P12" s="58">
        <f t="shared" si="1"/>
        <v>0</v>
      </c>
    </row>
    <row r="13" spans="1:16" ht="15.6">
      <c r="A13" s="35" t="str">
        <f t="shared" si="6"/>
        <v/>
      </c>
      <c r="B13" s="36"/>
      <c r="C13" s="37"/>
      <c r="D13" s="38"/>
      <c r="E13" s="38"/>
      <c r="F13" s="38"/>
      <c r="G13" s="38"/>
      <c r="H13" s="38"/>
      <c r="I13" s="40">
        <f t="shared" si="0"/>
        <v>0</v>
      </c>
      <c r="J13" s="56">
        <f t="shared" si="2"/>
        <v>0</v>
      </c>
      <c r="L13" s="57" t="s">
        <v>41</v>
      </c>
      <c r="M13" s="40">
        <f t="shared" si="3"/>
        <v>0</v>
      </c>
      <c r="N13" s="40">
        <f t="shared" si="4"/>
        <v>0</v>
      </c>
      <c r="O13" s="40">
        <f t="shared" si="5"/>
        <v>0</v>
      </c>
      <c r="P13" s="58">
        <f t="shared" si="1"/>
        <v>0</v>
      </c>
    </row>
    <row r="14" spans="1:16" ht="15.6">
      <c r="A14" s="35" t="str">
        <f t="shared" si="6"/>
        <v/>
      </c>
      <c r="B14" s="36"/>
      <c r="C14" s="37"/>
      <c r="D14" s="38"/>
      <c r="E14" s="38"/>
      <c r="F14" s="38"/>
      <c r="G14" s="38"/>
      <c r="H14" s="38"/>
      <c r="I14" s="40">
        <f t="shared" si="0"/>
        <v>0</v>
      </c>
      <c r="J14" s="56">
        <f t="shared" si="2"/>
        <v>0</v>
      </c>
      <c r="L14" s="57" t="s">
        <v>42</v>
      </c>
      <c r="M14" s="40">
        <f t="shared" si="3"/>
        <v>0</v>
      </c>
      <c r="N14" s="40">
        <f t="shared" si="4"/>
        <v>0</v>
      </c>
      <c r="O14" s="40">
        <f t="shared" si="5"/>
        <v>0</v>
      </c>
      <c r="P14" s="58">
        <f t="shared" si="1"/>
        <v>0</v>
      </c>
    </row>
    <row r="15" spans="1:16" ht="15.6">
      <c r="A15" s="35" t="str">
        <f t="shared" si="6"/>
        <v/>
      </c>
      <c r="B15" s="36"/>
      <c r="C15" s="37"/>
      <c r="D15" s="38"/>
      <c r="E15" s="38"/>
      <c r="F15" s="38"/>
      <c r="G15" s="38"/>
      <c r="H15" s="38"/>
      <c r="I15" s="40">
        <f t="shared" si="0"/>
        <v>0</v>
      </c>
      <c r="J15" s="56">
        <f t="shared" si="2"/>
        <v>0</v>
      </c>
      <c r="L15" s="57" t="s">
        <v>43</v>
      </c>
      <c r="M15" s="40">
        <f t="shared" si="3"/>
        <v>0</v>
      </c>
      <c r="N15" s="40">
        <f t="shared" si="4"/>
        <v>0</v>
      </c>
      <c r="O15" s="40">
        <f t="shared" si="5"/>
        <v>0</v>
      </c>
      <c r="P15" s="58">
        <f t="shared" si="1"/>
        <v>0</v>
      </c>
    </row>
    <row r="16" spans="1:16" ht="15.6">
      <c r="A16" s="35" t="str">
        <f t="shared" si="6"/>
        <v/>
      </c>
      <c r="B16" s="36"/>
      <c r="C16" s="37"/>
      <c r="D16" s="38"/>
      <c r="E16" s="38"/>
      <c r="F16" s="38"/>
      <c r="G16" s="38"/>
      <c r="H16" s="38"/>
      <c r="I16" s="40">
        <f t="shared" si="0"/>
        <v>0</v>
      </c>
      <c r="J16" s="56">
        <f t="shared" si="2"/>
        <v>0</v>
      </c>
      <c r="L16" s="57" t="s">
        <v>44</v>
      </c>
      <c r="M16" s="40">
        <f t="shared" si="3"/>
        <v>0</v>
      </c>
      <c r="N16" s="40">
        <f t="shared" si="4"/>
        <v>0</v>
      </c>
      <c r="O16" s="40">
        <f t="shared" si="5"/>
        <v>0</v>
      </c>
      <c r="P16" s="58">
        <f t="shared" si="1"/>
        <v>0</v>
      </c>
    </row>
    <row r="17" spans="1:16" ht="15.6">
      <c r="A17" s="35" t="str">
        <f t="shared" si="6"/>
        <v/>
      </c>
      <c r="B17" s="36"/>
      <c r="C17" s="37"/>
      <c r="D17" s="38"/>
      <c r="E17" s="38"/>
      <c r="F17" s="38"/>
      <c r="G17" s="38"/>
      <c r="H17" s="38"/>
      <c r="I17" s="40">
        <f t="shared" si="0"/>
        <v>0</v>
      </c>
      <c r="J17" s="56">
        <f t="shared" si="2"/>
        <v>0</v>
      </c>
      <c r="L17" s="57" t="s">
        <v>45</v>
      </c>
      <c r="M17" s="40">
        <f t="shared" si="3"/>
        <v>0</v>
      </c>
      <c r="N17" s="40">
        <f t="shared" si="4"/>
        <v>0</v>
      </c>
      <c r="O17" s="40">
        <f t="shared" si="5"/>
        <v>0</v>
      </c>
      <c r="P17" s="58">
        <f t="shared" si="1"/>
        <v>0</v>
      </c>
    </row>
    <row r="18" spans="1:16" ht="15.6">
      <c r="A18" s="35" t="str">
        <f t="shared" si="6"/>
        <v/>
      </c>
      <c r="B18" s="36"/>
      <c r="C18" s="37"/>
      <c r="D18" s="38"/>
      <c r="E18" s="38"/>
      <c r="F18" s="38"/>
      <c r="G18" s="38"/>
      <c r="H18" s="38"/>
      <c r="I18" s="40">
        <f t="shared" si="0"/>
        <v>0</v>
      </c>
      <c r="J18" s="56">
        <f t="shared" si="2"/>
        <v>0</v>
      </c>
      <c r="L18" s="57" t="s">
        <v>46</v>
      </c>
      <c r="M18" s="40">
        <f t="shared" si="3"/>
        <v>0</v>
      </c>
      <c r="N18" s="40">
        <f t="shared" si="4"/>
        <v>0</v>
      </c>
      <c r="O18" s="40">
        <f t="shared" si="5"/>
        <v>0</v>
      </c>
      <c r="P18" s="58">
        <f t="shared" si="1"/>
        <v>0</v>
      </c>
    </row>
    <row r="19" spans="1:16" ht="15.6">
      <c r="A19" s="35" t="str">
        <f t="shared" si="6"/>
        <v/>
      </c>
      <c r="B19" s="36"/>
      <c r="C19" s="37"/>
      <c r="D19" s="38"/>
      <c r="E19" s="38"/>
      <c r="F19" s="38"/>
      <c r="G19" s="38"/>
      <c r="H19" s="38"/>
      <c r="I19" s="40">
        <f t="shared" ref="I19:I30" si="7">+IF(H19&gt;0,($I$7*H19),0)</f>
        <v>0</v>
      </c>
      <c r="J19" s="56">
        <f t="shared" si="2"/>
        <v>0</v>
      </c>
      <c r="L19" s="57"/>
      <c r="M19" s="40">
        <f t="shared" si="3"/>
        <v>0</v>
      </c>
      <c r="N19" s="40">
        <f t="shared" si="4"/>
        <v>0</v>
      </c>
      <c r="O19" s="40">
        <f t="shared" si="5"/>
        <v>0</v>
      </c>
      <c r="P19" s="58">
        <f t="shared" si="1"/>
        <v>0</v>
      </c>
    </row>
    <row r="20" spans="1:16" ht="15.6">
      <c r="A20" s="35" t="str">
        <f t="shared" si="6"/>
        <v/>
      </c>
      <c r="B20" s="36"/>
      <c r="C20" s="37"/>
      <c r="D20" s="38"/>
      <c r="E20" s="38"/>
      <c r="F20" s="38"/>
      <c r="G20" s="38"/>
      <c r="H20" s="38"/>
      <c r="I20" s="40">
        <f t="shared" si="7"/>
        <v>0</v>
      </c>
      <c r="J20" s="56">
        <f t="shared" si="2"/>
        <v>0</v>
      </c>
      <c r="L20" s="57"/>
      <c r="M20" s="40">
        <f t="shared" si="3"/>
        <v>0</v>
      </c>
      <c r="N20" s="40">
        <f t="shared" si="4"/>
        <v>0</v>
      </c>
      <c r="O20" s="40">
        <f t="shared" si="5"/>
        <v>0</v>
      </c>
      <c r="P20" s="58">
        <f t="shared" si="1"/>
        <v>0</v>
      </c>
    </row>
    <row r="21" spans="1:16" ht="15.6">
      <c r="A21" s="35" t="str">
        <f t="shared" si="6"/>
        <v/>
      </c>
      <c r="B21" s="36"/>
      <c r="C21" s="37"/>
      <c r="D21" s="38"/>
      <c r="E21" s="38"/>
      <c r="F21" s="38"/>
      <c r="G21" s="38"/>
      <c r="H21" s="38"/>
      <c r="I21" s="40">
        <f t="shared" si="7"/>
        <v>0</v>
      </c>
      <c r="J21" s="56">
        <f t="shared" ref="J21:J30" si="8">+G21+H21+I21</f>
        <v>0</v>
      </c>
      <c r="L21" s="57"/>
      <c r="M21" s="40">
        <f t="shared" ref="M21:M28" si="9">+SUMIFS(G:G,F:F,L21)</f>
        <v>0</v>
      </c>
      <c r="N21" s="40">
        <f t="shared" ref="N21:N28" si="10">+SUMIFS(H:H,F:F,L21)</f>
        <v>0</v>
      </c>
      <c r="O21" s="40">
        <f t="shared" ref="O21:O28" si="11">+SUMIFS(I:I,F:F,L21)</f>
        <v>0</v>
      </c>
      <c r="P21" s="58">
        <f t="shared" ref="P21:P28" si="12">+SUMIFS(J:J,F:F,L21)</f>
        <v>0</v>
      </c>
    </row>
    <row r="22" spans="1:16" ht="15.6">
      <c r="A22" s="35" t="str">
        <f t="shared" si="6"/>
        <v/>
      </c>
      <c r="B22" s="36"/>
      <c r="C22" s="37"/>
      <c r="D22" s="38"/>
      <c r="E22" s="38"/>
      <c r="F22" s="38"/>
      <c r="G22" s="38"/>
      <c r="H22" s="38"/>
      <c r="I22" s="40">
        <f t="shared" si="7"/>
        <v>0</v>
      </c>
      <c r="J22" s="56">
        <f t="shared" si="8"/>
        <v>0</v>
      </c>
      <c r="L22" s="57"/>
      <c r="M22" s="40">
        <f t="shared" si="9"/>
        <v>0</v>
      </c>
      <c r="N22" s="40">
        <f t="shared" si="10"/>
        <v>0</v>
      </c>
      <c r="O22" s="40">
        <f t="shared" si="11"/>
        <v>0</v>
      </c>
      <c r="P22" s="58">
        <f t="shared" si="12"/>
        <v>0</v>
      </c>
    </row>
    <row r="23" spans="1:16" ht="15.6">
      <c r="A23" s="35" t="str">
        <f t="shared" si="6"/>
        <v/>
      </c>
      <c r="B23" s="36"/>
      <c r="C23" s="37"/>
      <c r="D23" s="38"/>
      <c r="E23" s="38"/>
      <c r="F23" s="38"/>
      <c r="G23" s="38"/>
      <c r="H23" s="38"/>
      <c r="I23" s="40">
        <f t="shared" si="7"/>
        <v>0</v>
      </c>
      <c r="J23" s="56">
        <f t="shared" si="8"/>
        <v>0</v>
      </c>
      <c r="L23" s="57"/>
      <c r="M23" s="40">
        <f t="shared" si="9"/>
        <v>0</v>
      </c>
      <c r="N23" s="40">
        <f t="shared" si="10"/>
        <v>0</v>
      </c>
      <c r="O23" s="40">
        <f t="shared" si="11"/>
        <v>0</v>
      </c>
      <c r="P23" s="58">
        <f t="shared" si="12"/>
        <v>0</v>
      </c>
    </row>
    <row r="24" spans="1:16" ht="15.6">
      <c r="A24" s="35" t="str">
        <f t="shared" si="6"/>
        <v/>
      </c>
      <c r="B24" s="36"/>
      <c r="C24" s="37"/>
      <c r="D24" s="38"/>
      <c r="E24" s="38"/>
      <c r="F24" s="38"/>
      <c r="G24" s="38"/>
      <c r="H24" s="38"/>
      <c r="I24" s="40">
        <f t="shared" si="7"/>
        <v>0</v>
      </c>
      <c r="J24" s="56">
        <f t="shared" si="8"/>
        <v>0</v>
      </c>
      <c r="L24" s="57"/>
      <c r="M24" s="40">
        <f t="shared" si="9"/>
        <v>0</v>
      </c>
      <c r="N24" s="40">
        <f t="shared" si="10"/>
        <v>0</v>
      </c>
      <c r="O24" s="40">
        <f t="shared" si="11"/>
        <v>0</v>
      </c>
      <c r="P24" s="58">
        <f t="shared" si="12"/>
        <v>0</v>
      </c>
    </row>
    <row r="25" spans="1:16" ht="15.6">
      <c r="A25" s="35" t="str">
        <f t="shared" si="6"/>
        <v/>
      </c>
      <c r="B25" s="36"/>
      <c r="C25" s="37"/>
      <c r="D25" s="38"/>
      <c r="E25" s="38"/>
      <c r="F25" s="38"/>
      <c r="G25" s="38"/>
      <c r="H25" s="38"/>
      <c r="I25" s="40">
        <f t="shared" si="7"/>
        <v>0</v>
      </c>
      <c r="J25" s="56">
        <f t="shared" si="8"/>
        <v>0</v>
      </c>
      <c r="L25" s="57"/>
      <c r="M25" s="40">
        <f t="shared" si="9"/>
        <v>0</v>
      </c>
      <c r="N25" s="40">
        <f t="shared" si="10"/>
        <v>0</v>
      </c>
      <c r="O25" s="40">
        <f t="shared" si="11"/>
        <v>0</v>
      </c>
      <c r="P25" s="58">
        <f t="shared" si="12"/>
        <v>0</v>
      </c>
    </row>
    <row r="26" spans="1:16" ht="15.6">
      <c r="A26" s="35" t="str">
        <f t="shared" si="6"/>
        <v/>
      </c>
      <c r="B26" s="36"/>
      <c r="C26" s="37"/>
      <c r="D26" s="38"/>
      <c r="E26" s="38"/>
      <c r="F26" s="38"/>
      <c r="G26" s="38"/>
      <c r="H26" s="38"/>
      <c r="I26" s="40">
        <f t="shared" si="7"/>
        <v>0</v>
      </c>
      <c r="J26" s="56">
        <f t="shared" si="8"/>
        <v>0</v>
      </c>
      <c r="L26" s="57"/>
      <c r="M26" s="40">
        <f t="shared" si="9"/>
        <v>0</v>
      </c>
      <c r="N26" s="40">
        <f t="shared" si="10"/>
        <v>0</v>
      </c>
      <c r="O26" s="40">
        <f t="shared" si="11"/>
        <v>0</v>
      </c>
      <c r="P26" s="58">
        <f t="shared" si="12"/>
        <v>0</v>
      </c>
    </row>
    <row r="27" spans="1:16" ht="15.6">
      <c r="A27" s="35" t="str">
        <f t="shared" si="6"/>
        <v/>
      </c>
      <c r="B27" s="36"/>
      <c r="C27" s="37"/>
      <c r="D27" s="38"/>
      <c r="E27" s="38"/>
      <c r="F27" s="38"/>
      <c r="G27" s="38"/>
      <c r="H27" s="38"/>
      <c r="I27" s="40">
        <f t="shared" si="7"/>
        <v>0</v>
      </c>
      <c r="J27" s="56">
        <f t="shared" si="8"/>
        <v>0</v>
      </c>
      <c r="L27" s="57"/>
      <c r="M27" s="40">
        <f t="shared" si="9"/>
        <v>0</v>
      </c>
      <c r="N27" s="40">
        <f t="shared" si="10"/>
        <v>0</v>
      </c>
      <c r="O27" s="40">
        <f t="shared" si="11"/>
        <v>0</v>
      </c>
      <c r="P27" s="58">
        <f t="shared" si="12"/>
        <v>0</v>
      </c>
    </row>
    <row r="28" spans="1:16" ht="15.6">
      <c r="A28" s="35" t="str">
        <f t="shared" si="6"/>
        <v/>
      </c>
      <c r="B28" s="36"/>
      <c r="C28" s="37"/>
      <c r="D28" s="38"/>
      <c r="E28" s="38"/>
      <c r="F28" s="38"/>
      <c r="G28" s="38"/>
      <c r="H28" s="38"/>
      <c r="I28" s="40">
        <f t="shared" si="7"/>
        <v>0</v>
      </c>
      <c r="J28" s="56">
        <f t="shared" si="8"/>
        <v>0</v>
      </c>
      <c r="L28" s="57"/>
      <c r="M28" s="40">
        <f t="shared" si="9"/>
        <v>0</v>
      </c>
      <c r="N28" s="40">
        <f t="shared" si="10"/>
        <v>0</v>
      </c>
      <c r="O28" s="40">
        <f t="shared" si="11"/>
        <v>0</v>
      </c>
      <c r="P28" s="58">
        <f t="shared" si="12"/>
        <v>0</v>
      </c>
    </row>
    <row r="29" spans="1:16" ht="15.6">
      <c r="A29" s="35" t="str">
        <f t="shared" si="6"/>
        <v/>
      </c>
      <c r="B29" s="36"/>
      <c r="C29" s="37"/>
      <c r="D29" s="38"/>
      <c r="E29" s="38"/>
      <c r="F29" s="38"/>
      <c r="G29" s="38"/>
      <c r="H29" s="38"/>
      <c r="I29" s="40">
        <f t="shared" si="7"/>
        <v>0</v>
      </c>
      <c r="J29" s="56">
        <f t="shared" si="8"/>
        <v>0</v>
      </c>
      <c r="L29" s="59" t="s">
        <v>86</v>
      </c>
      <c r="M29" s="60">
        <f>SUM(M8:M28)</f>
        <v>0</v>
      </c>
      <c r="N29" s="60">
        <f t="shared" ref="N29:P29" si="13">SUM(N8:N28)</f>
        <v>0</v>
      </c>
      <c r="O29" s="60">
        <f t="shared" si="13"/>
        <v>0</v>
      </c>
      <c r="P29" s="60">
        <f t="shared" si="13"/>
        <v>0</v>
      </c>
    </row>
    <row r="30" spans="1:16" ht="15.6">
      <c r="A30" s="35" t="str">
        <f t="shared" si="6"/>
        <v/>
      </c>
      <c r="B30" s="36"/>
      <c r="C30" s="37"/>
      <c r="D30" s="38"/>
      <c r="E30" s="38"/>
      <c r="F30" s="38"/>
      <c r="G30" s="38"/>
      <c r="H30" s="38"/>
      <c r="I30" s="40">
        <f t="shared" si="7"/>
        <v>0</v>
      </c>
      <c r="J30" s="56">
        <f t="shared" si="8"/>
        <v>0</v>
      </c>
      <c r="L30" s="61" t="s">
        <v>87</v>
      </c>
      <c r="M30" s="61"/>
      <c r="N30" s="61"/>
      <c r="O30" s="61"/>
      <c r="P30" s="62">
        <v>200</v>
      </c>
    </row>
    <row r="31" spans="1:16" ht="15.6">
      <c r="A31" s="35" t="str">
        <f t="shared" si="6"/>
        <v/>
      </c>
      <c r="B31" s="36"/>
      <c r="C31" s="37"/>
      <c r="D31" s="38"/>
      <c r="E31" s="38"/>
      <c r="F31" s="38"/>
      <c r="G31" s="38"/>
      <c r="H31" s="38"/>
      <c r="I31" s="40">
        <f t="shared" ref="I31:I37" si="14">+IF(H31&gt;0,($I$7*H31),0)</f>
        <v>0</v>
      </c>
      <c r="J31" s="56">
        <f t="shared" si="2"/>
        <v>0</v>
      </c>
      <c r="L31" s="61" t="s">
        <v>88</v>
      </c>
      <c r="M31" s="61"/>
      <c r="N31" s="61"/>
      <c r="O31" s="61"/>
      <c r="P31" s="63">
        <f>+P30-P29</f>
        <v>200</v>
      </c>
    </row>
    <row r="32" spans="1:16" ht="15.6">
      <c r="A32" s="35" t="str">
        <f t="shared" si="6"/>
        <v/>
      </c>
      <c r="B32" s="36"/>
      <c r="C32" s="37"/>
      <c r="D32" s="38"/>
      <c r="E32" s="38"/>
      <c r="F32" s="38"/>
      <c r="G32" s="38"/>
      <c r="H32" s="38"/>
      <c r="I32" s="40">
        <f t="shared" si="14"/>
        <v>0</v>
      </c>
      <c r="J32" s="56">
        <f t="shared" si="2"/>
        <v>0</v>
      </c>
    </row>
    <row r="33" spans="1:11" ht="15.6">
      <c r="A33" s="35" t="str">
        <f t="shared" si="6"/>
        <v/>
      </c>
      <c r="B33" s="36"/>
      <c r="C33" s="37"/>
      <c r="D33" s="38"/>
      <c r="E33" s="38"/>
      <c r="F33" s="38"/>
      <c r="G33" s="38"/>
      <c r="H33" s="38"/>
      <c r="I33" s="40">
        <f t="shared" si="14"/>
        <v>0</v>
      </c>
      <c r="J33" s="56">
        <f t="shared" si="2"/>
        <v>0</v>
      </c>
    </row>
    <row r="34" spans="1:11" ht="15.6">
      <c r="A34" s="35" t="str">
        <f t="shared" si="6"/>
        <v/>
      </c>
      <c r="B34" s="36"/>
      <c r="C34" s="37"/>
      <c r="D34" s="38"/>
      <c r="E34" s="38"/>
      <c r="F34" s="38"/>
      <c r="G34" s="38"/>
      <c r="H34" s="38"/>
      <c r="I34" s="40">
        <f t="shared" si="14"/>
        <v>0</v>
      </c>
      <c r="J34" s="56">
        <f t="shared" si="2"/>
        <v>0</v>
      </c>
    </row>
    <row r="35" spans="1:11" ht="15.6">
      <c r="A35" s="35" t="str">
        <f t="shared" si="6"/>
        <v/>
      </c>
      <c r="B35" s="36"/>
      <c r="C35" s="37"/>
      <c r="D35" s="38"/>
      <c r="E35" s="38"/>
      <c r="F35" s="38"/>
      <c r="G35" s="38"/>
      <c r="H35" s="38"/>
      <c r="I35" s="40">
        <f t="shared" si="14"/>
        <v>0</v>
      </c>
      <c r="J35" s="56">
        <f t="shared" si="2"/>
        <v>0</v>
      </c>
    </row>
    <row r="36" spans="1:11" ht="15.6">
      <c r="A36" s="35" t="str">
        <f t="shared" si="6"/>
        <v/>
      </c>
      <c r="B36" s="36"/>
      <c r="C36" s="37"/>
      <c r="D36" s="38"/>
      <c r="E36" s="38"/>
      <c r="F36" s="38"/>
      <c r="G36" s="38"/>
      <c r="H36" s="38"/>
      <c r="I36" s="40">
        <f t="shared" si="14"/>
        <v>0</v>
      </c>
      <c r="J36" s="56">
        <f t="shared" si="2"/>
        <v>0</v>
      </c>
    </row>
    <row r="37" spans="1:11" ht="15.6">
      <c r="A37" s="35" t="str">
        <f t="shared" si="6"/>
        <v/>
      </c>
      <c r="B37" s="36"/>
      <c r="C37" s="37"/>
      <c r="D37" s="38"/>
      <c r="E37" s="38"/>
      <c r="F37" s="38"/>
      <c r="G37" s="38"/>
      <c r="H37" s="38"/>
      <c r="I37" s="40">
        <f t="shared" si="14"/>
        <v>0</v>
      </c>
      <c r="J37" s="56">
        <f t="shared" si="2"/>
        <v>0</v>
      </c>
    </row>
    <row r="38" spans="1:11">
      <c r="A38" s="39"/>
      <c r="G38" s="40"/>
      <c r="H38" s="40"/>
      <c r="I38" s="40"/>
      <c r="J38" s="40"/>
    </row>
    <row r="39" spans="1:11" s="4" customFormat="1" ht="15.6">
      <c r="A39" s="41"/>
      <c r="B39" s="42"/>
      <c r="C39" s="43"/>
      <c r="G39" s="44">
        <f>SUM(G8:G38)</f>
        <v>0</v>
      </c>
      <c r="H39" s="44">
        <f t="shared" ref="H39:K39" si="15">SUM(H8:H38)</f>
        <v>0</v>
      </c>
      <c r="I39" s="44">
        <f t="shared" si="15"/>
        <v>0</v>
      </c>
      <c r="J39" s="44">
        <f t="shared" si="15"/>
        <v>0</v>
      </c>
      <c r="K39" s="64">
        <f t="shared" si="15"/>
        <v>0</v>
      </c>
    </row>
    <row r="40" spans="1:11">
      <c r="A40" s="39"/>
    </row>
    <row r="41" spans="1:11">
      <c r="A41" s="39"/>
    </row>
    <row r="42" spans="1:11">
      <c r="A42" s="39"/>
      <c r="C42" s="43" t="s">
        <v>89</v>
      </c>
      <c r="D42" s="45"/>
      <c r="F42" s="43" t="s">
        <v>90</v>
      </c>
      <c r="G42" s="45"/>
      <c r="H42" s="46"/>
      <c r="I42" s="46"/>
    </row>
    <row r="43" spans="1:11">
      <c r="A43" s="39"/>
      <c r="C43" s="43" t="s">
        <v>91</v>
      </c>
      <c r="D43" s="38" t="s">
        <v>92</v>
      </c>
      <c r="F43" s="43" t="s">
        <v>91</v>
      </c>
      <c r="G43" s="86"/>
      <c r="H43" s="87"/>
      <c r="I43" s="87"/>
    </row>
    <row r="44" spans="1:11">
      <c r="A44" s="39"/>
    </row>
  </sheetData>
  <sheetProtection algorithmName="SHA-512" hashValue="3PKQGGcFp6tQLmsg9pW3PvHp3nlr249tYLZqvpUYPVJc7bsgkwbOXLhpIPrLerx3m+dzOqeRRG4AXF3mro3DGg==" saltValue="nfxPAA3wteR6VpiNX3g8VQ==" spinCount="100000" sheet="1" objects="1" scenarios="1"/>
  <mergeCells count="1">
    <mergeCell ref="G43:I43"/>
  </mergeCells>
  <conditionalFormatting sqref="C3">
    <cfRule type="containsBlanks" dxfId="6" priority="3">
      <formula>LEN(TRIM(C3))=0</formula>
    </cfRule>
  </conditionalFormatting>
  <conditionalFormatting sqref="E3">
    <cfRule type="containsBlanks" dxfId="5" priority="6">
      <formula>LEN(TRIM(E3))=0</formula>
    </cfRule>
  </conditionalFormatting>
  <conditionalFormatting sqref="E5">
    <cfRule type="containsBlanks" dxfId="4" priority="5">
      <formula>LEN(TRIM(E5))=0</formula>
    </cfRule>
  </conditionalFormatting>
  <conditionalFormatting sqref="P30">
    <cfRule type="containsBlanks" dxfId="3" priority="4">
      <formula>LEN(TRIM(P30))=0</formula>
    </cfRule>
  </conditionalFormatting>
  <conditionalFormatting sqref="D43">
    <cfRule type="containsBlanks" dxfId="2" priority="2">
      <formula>LEN(TRIM(D43))=0</formula>
    </cfRule>
  </conditionalFormatting>
  <conditionalFormatting sqref="G43">
    <cfRule type="containsBlanks" dxfId="1" priority="1">
      <formula>LEN(TRIM(G43))=0</formula>
    </cfRule>
  </conditionalFormatting>
  <conditionalFormatting sqref="B8:H37">
    <cfRule type="containsBlanks" dxfId="0" priority="8">
      <formula>LEN(TRIM(B8))=0</formula>
    </cfRule>
  </conditionalFormatting>
  <dataValidations count="9">
    <dataValidation allowBlank="1" showInputMessage="1" showErrorMessage="1" promptTitle="NOMBRE DEL CUSTODIO" prompt="Ingresar los NOMBRES y APELLIDOS del custodio de la CAJA CHICA" sqref="E3" xr:uid="{00000000-0002-0000-0300-000001000000}"/>
    <dataValidation allowBlank="1" showInputMessage="1" showErrorMessage="1" promptTitle="FECHA DE GENERACIÓN CAJA CHICA" prompt="Ingresar la fecha con la cual envía el archivo y los documentos sustentos (COMPLETOS)_x000a_" sqref="E5" xr:uid="{00000000-0002-0000-0300-000002000000}"/>
    <dataValidation allowBlank="1" showInputMessage="1" showErrorMessage="1" promptTitle="DESCRIPCIÓN" prompt="Describir la razón por la cual se realizo este desembolso, el detalle de los insumos comprados." sqref="D43 G43 E8:E15 E16:E37" xr:uid="{00000000-0002-0000-0300-000003000000}"/>
    <dataValidation errorStyle="warning" allowBlank="1" showInputMessage="1" showErrorMessage="1" promptTitle="FECHA DE REGISTRO" prompt="La fecha a registrar es del comprobante. Por política empresarial no se permite facturas anteriores al mes y año de gestión. En el caso de incurrir en esta falta el valor sera canalizado como anticipo al responsable" sqref="B8:B15 B16:B37" xr:uid="{00000000-0002-0000-0300-000004000000}"/>
    <dataValidation allowBlank="1" showInputMessage="1" showErrorMessage="1" promptTitle="DATOS A INGRESAR" prompt="El número a ingresar deben ser completoses de acuerdo a los que constan en la FACTURA / NOTA DE VENTA / VALE DE CAJA_x000a_Ejemplo 001-001-0000000015" sqref="C8:C15" xr:uid="{00000000-0002-0000-0300-000005000000}"/>
    <dataValidation allowBlank="1" showInputMessage="1" showErrorMessage="1" promptTitle="DATOS A INGRESAR" prompt="El número a ingresar es el que aparece en, con los números completos, la FACTURA / NOTA DE VENTA / VALE DE CAJA_x000a_Ejemplo 001-001-0000000015" sqref="C16:C37" xr:uid="{00000000-0002-0000-0300-000006000000}"/>
    <dataValidation allowBlank="1" showInputMessage="1" showErrorMessage="1" promptTitle="DATOS DEL PROVEEDOR" prompt="Ingresar los datos completos que constan en las FACTURAS O NOTAS DE VENTA._x000a_En el caso de los VALES DE CAJA INGRESAR el nombre de la persona a la cual se le extendío dicho documento y valor" sqref="D8:D15 D16:D37" xr:uid="{00000000-0002-0000-0300-000007000000}"/>
    <dataValidation allowBlank="1" showInputMessage="1" showErrorMessage="1" promptTitle="SUBTOTAL SIN IVA" prompt="Ingresar los valores que en las FACTURAS consten como IVA 0% o NO OBJETO DE IVA._x000a__x000a_Ingresar los valores de NOTAS DE VENTA y de los VALES DE CAJA" sqref="G8:G37" xr:uid="{00000000-0002-0000-0300-000009000000}"/>
    <dataValidation allowBlank="1" showInputMessage="1" showErrorMessage="1" promptTitle="SUBTOTAL CON IVA" prompt="Ingresar SOLO los valores de las FACTURAS que tienen IVA " sqref="H8:H36" xr:uid="{00000000-0002-0000-0300-00000A000000}"/>
  </dataValidations>
  <pageMargins left="0.7" right="0.7" top="0.75" bottom="0.75" header="0.3" footer="0.3"/>
  <pageSetup scale="49"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Title="CÓDIGO" prompt="Escoger del desplegador el CÓDIGO de la sucursal a la cual corresponde la CAJA CHICA" xr:uid="{00000000-0002-0000-0300-000000000000}">
          <x14:formula1>
            <xm:f>CENTRO_COSTOS!$B$2:$B$212</xm:f>
          </x14:formula1>
          <xm:sqref>C3</xm:sqref>
        </x14:dataValidation>
        <x14:dataValidation type="list" allowBlank="1" showInputMessage="1" showErrorMessage="1" promptTitle="TIPO DE GASTO" prompt="Escoger en el desplegador el tipo de gasto incurrido, el mismo que debe tener coherencia con la descripción" xr:uid="{00000000-0002-0000-0300-000008000000}">
          <x14:formula1>
            <xm:f>TIPO_GASTO!$A$1:$A$19</xm:f>
          </x14:formula1>
          <xm:sqref>F8:F37</xm:sqref>
        </x14:dataValidation>
        <x14:dataValidation type="list" allowBlank="1" showInputMessage="1" showErrorMessage="1" xr:uid="{00000000-0002-0000-0300-00000B000000}">
          <x14:formula1>
            <xm:f>TIPO_GASTO!$A$1:$A$19</xm:f>
          </x14:formula1>
          <xm:sqref>L8:L28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D212"/>
  <sheetViews>
    <sheetView workbookViewId="0">
      <pane xSplit="3" ySplit="1" topLeftCell="D2" activePane="bottomRight" state="frozen"/>
      <selection pane="topRight"/>
      <selection pane="bottomLeft"/>
      <selection pane="bottomRight" activeCell="L16" sqref="L16"/>
    </sheetView>
  </sheetViews>
  <sheetFormatPr baseColWidth="10" defaultColWidth="11" defaultRowHeight="14.4"/>
  <cols>
    <col min="1" max="1" width="4.77734375" customWidth="1"/>
    <col min="2" max="2" width="7.77734375" customWidth="1"/>
    <col min="3" max="3" width="18.109375" customWidth="1"/>
    <col min="4" max="4" width="51.5546875" customWidth="1"/>
  </cols>
  <sheetData>
    <row r="1" spans="1:4">
      <c r="A1" s="1" t="s">
        <v>93</v>
      </c>
      <c r="B1" s="1" t="s">
        <v>94</v>
      </c>
      <c r="C1" s="1" t="s">
        <v>95</v>
      </c>
      <c r="D1" s="1" t="s">
        <v>96</v>
      </c>
    </row>
    <row r="2" spans="1:4">
      <c r="A2" s="2" t="s">
        <v>97</v>
      </c>
      <c r="B2" s="2" t="s">
        <v>98</v>
      </c>
      <c r="C2" s="2" t="s">
        <v>99</v>
      </c>
      <c r="D2" s="2" t="s">
        <v>100</v>
      </c>
    </row>
    <row r="3" spans="1:4">
      <c r="A3" s="2" t="s">
        <v>97</v>
      </c>
      <c r="B3" s="2" t="s">
        <v>101</v>
      </c>
      <c r="C3" s="2" t="s">
        <v>102</v>
      </c>
      <c r="D3" s="2" t="s">
        <v>103</v>
      </c>
    </row>
    <row r="4" spans="1:4">
      <c r="A4" s="2" t="s">
        <v>97</v>
      </c>
      <c r="B4" s="2" t="s">
        <v>104</v>
      </c>
      <c r="C4" s="2" t="s">
        <v>105</v>
      </c>
      <c r="D4" s="2" t="s">
        <v>106</v>
      </c>
    </row>
    <row r="5" spans="1:4">
      <c r="A5" s="2" t="s">
        <v>97</v>
      </c>
      <c r="B5" s="2" t="s">
        <v>107</v>
      </c>
      <c r="C5" s="2" t="s">
        <v>108</v>
      </c>
      <c r="D5" s="2" t="s">
        <v>109</v>
      </c>
    </row>
    <row r="6" spans="1:4">
      <c r="A6" s="2" t="s">
        <v>97</v>
      </c>
      <c r="B6" s="2" t="s">
        <v>110</v>
      </c>
      <c r="C6" s="2" t="s">
        <v>111</v>
      </c>
      <c r="D6" s="2" t="s">
        <v>112</v>
      </c>
    </row>
    <row r="7" spans="1:4">
      <c r="A7" s="2" t="s">
        <v>97</v>
      </c>
      <c r="B7" s="2" t="s">
        <v>113</v>
      </c>
      <c r="C7" s="2" t="s">
        <v>114</v>
      </c>
      <c r="D7" s="2" t="s">
        <v>115</v>
      </c>
    </row>
    <row r="8" spans="1:4">
      <c r="A8" s="2" t="s">
        <v>97</v>
      </c>
      <c r="B8" s="2" t="s">
        <v>116</v>
      </c>
      <c r="C8" s="2" t="s">
        <v>117</v>
      </c>
      <c r="D8" s="2" t="s">
        <v>118</v>
      </c>
    </row>
    <row r="9" spans="1:4">
      <c r="A9" s="2" t="s">
        <v>97</v>
      </c>
      <c r="B9" s="2" t="s">
        <v>119</v>
      </c>
      <c r="C9" s="2" t="s">
        <v>120</v>
      </c>
      <c r="D9" s="2" t="s">
        <v>121</v>
      </c>
    </row>
    <row r="10" spans="1:4">
      <c r="A10" s="2" t="s">
        <v>97</v>
      </c>
      <c r="B10" s="2" t="s">
        <v>122</v>
      </c>
      <c r="C10" s="2" t="s">
        <v>123</v>
      </c>
      <c r="D10" s="2" t="s">
        <v>124</v>
      </c>
    </row>
    <row r="11" spans="1:4">
      <c r="A11" s="2" t="s">
        <v>97</v>
      </c>
      <c r="B11" s="2" t="s">
        <v>125</v>
      </c>
      <c r="C11" s="2" t="s">
        <v>126</v>
      </c>
      <c r="D11" s="2" t="s">
        <v>127</v>
      </c>
    </row>
    <row r="12" spans="1:4">
      <c r="A12" s="2" t="s">
        <v>97</v>
      </c>
      <c r="B12" s="2" t="s">
        <v>128</v>
      </c>
      <c r="C12" s="2" t="s">
        <v>129</v>
      </c>
      <c r="D12" s="2" t="s">
        <v>130</v>
      </c>
    </row>
    <row r="13" spans="1:4">
      <c r="A13" s="2" t="s">
        <v>97</v>
      </c>
      <c r="B13" s="2" t="s">
        <v>131</v>
      </c>
      <c r="C13" s="2" t="s">
        <v>132</v>
      </c>
      <c r="D13" s="2" t="s">
        <v>133</v>
      </c>
    </row>
    <row r="14" spans="1:4">
      <c r="A14" s="2" t="s">
        <v>97</v>
      </c>
      <c r="B14" s="2" t="s">
        <v>134</v>
      </c>
      <c r="C14" s="2" t="s">
        <v>135</v>
      </c>
      <c r="D14" s="2" t="s">
        <v>136</v>
      </c>
    </row>
    <row r="15" spans="1:4">
      <c r="A15" s="2" t="s">
        <v>97</v>
      </c>
      <c r="B15" s="2" t="s">
        <v>137</v>
      </c>
      <c r="C15" s="2" t="s">
        <v>138</v>
      </c>
      <c r="D15" s="2" t="s">
        <v>139</v>
      </c>
    </row>
    <row r="16" spans="1:4">
      <c r="A16" s="2" t="s">
        <v>97</v>
      </c>
      <c r="B16" s="2" t="s">
        <v>140</v>
      </c>
      <c r="C16" s="2" t="s">
        <v>141</v>
      </c>
      <c r="D16" s="2" t="s">
        <v>142</v>
      </c>
    </row>
    <row r="17" spans="1:4">
      <c r="A17" s="2" t="s">
        <v>97</v>
      </c>
      <c r="B17" s="2" t="s">
        <v>143</v>
      </c>
      <c r="C17" s="2" t="s">
        <v>144</v>
      </c>
      <c r="D17" s="2" t="s">
        <v>145</v>
      </c>
    </row>
    <row r="18" spans="1:4">
      <c r="A18" s="2" t="s">
        <v>97</v>
      </c>
      <c r="B18" s="2" t="s">
        <v>146</v>
      </c>
      <c r="C18" s="2" t="s">
        <v>147</v>
      </c>
      <c r="D18" s="2" t="s">
        <v>148</v>
      </c>
    </row>
    <row r="19" spans="1:4">
      <c r="A19" s="2" t="s">
        <v>97</v>
      </c>
      <c r="B19" s="2" t="s">
        <v>149</v>
      </c>
      <c r="C19" s="2" t="s">
        <v>150</v>
      </c>
      <c r="D19" s="2" t="s">
        <v>151</v>
      </c>
    </row>
    <row r="20" spans="1:4">
      <c r="A20" s="2" t="s">
        <v>97</v>
      </c>
      <c r="B20" s="2" t="s">
        <v>152</v>
      </c>
      <c r="C20" s="2" t="s">
        <v>153</v>
      </c>
      <c r="D20" s="2" t="s">
        <v>154</v>
      </c>
    </row>
    <row r="21" spans="1:4">
      <c r="A21" s="2" t="s">
        <v>97</v>
      </c>
      <c r="B21" s="2" t="s">
        <v>155</v>
      </c>
      <c r="C21" s="2" t="s">
        <v>156</v>
      </c>
      <c r="D21" s="2" t="s">
        <v>157</v>
      </c>
    </row>
    <row r="22" spans="1:4">
      <c r="A22" s="2" t="s">
        <v>97</v>
      </c>
      <c r="B22" s="2" t="s">
        <v>158</v>
      </c>
      <c r="C22" s="2" t="s">
        <v>159</v>
      </c>
      <c r="D22" s="2" t="s">
        <v>160</v>
      </c>
    </row>
    <row r="23" spans="1:4">
      <c r="A23" s="2" t="s">
        <v>97</v>
      </c>
      <c r="B23" s="2" t="s">
        <v>161</v>
      </c>
      <c r="C23" s="2" t="s">
        <v>162</v>
      </c>
      <c r="D23" s="2" t="s">
        <v>163</v>
      </c>
    </row>
    <row r="24" spans="1:4">
      <c r="A24" s="2">
        <v>31</v>
      </c>
      <c r="B24" s="2" t="s">
        <v>164</v>
      </c>
      <c r="C24" s="2" t="s">
        <v>165</v>
      </c>
      <c r="D24" s="2" t="s">
        <v>166</v>
      </c>
    </row>
    <row r="25" spans="1:4">
      <c r="A25" s="2">
        <v>31</v>
      </c>
      <c r="B25" s="2" t="s">
        <v>167</v>
      </c>
      <c r="C25" s="2" t="s">
        <v>168</v>
      </c>
      <c r="D25" s="2" t="s">
        <v>169</v>
      </c>
    </row>
    <row r="26" spans="1:4">
      <c r="A26" s="2">
        <v>31</v>
      </c>
      <c r="B26" s="2" t="s">
        <v>170</v>
      </c>
      <c r="C26" s="2" t="s">
        <v>171</v>
      </c>
      <c r="D26" s="2" t="s">
        <v>172</v>
      </c>
    </row>
    <row r="27" spans="1:4">
      <c r="A27" s="2">
        <v>27</v>
      </c>
      <c r="B27" s="2" t="s">
        <v>173</v>
      </c>
      <c r="C27" s="2" t="s">
        <v>174</v>
      </c>
      <c r="D27" s="2" t="s">
        <v>175</v>
      </c>
    </row>
    <row r="28" spans="1:4">
      <c r="A28" s="2">
        <v>31</v>
      </c>
      <c r="B28" s="2" t="s">
        <v>176</v>
      </c>
      <c r="C28" s="2" t="s">
        <v>177</v>
      </c>
      <c r="D28" s="2" t="s">
        <v>178</v>
      </c>
    </row>
    <row r="29" spans="1:4">
      <c r="A29" s="2">
        <v>31</v>
      </c>
      <c r="B29" s="2" t="s">
        <v>179</v>
      </c>
      <c r="C29" s="2" t="s">
        <v>180</v>
      </c>
      <c r="D29" s="2" t="s">
        <v>181</v>
      </c>
    </row>
    <row r="30" spans="1:4">
      <c r="A30" s="2">
        <v>32</v>
      </c>
      <c r="B30" s="2" t="s">
        <v>182</v>
      </c>
      <c r="C30" s="2" t="s">
        <v>183</v>
      </c>
      <c r="D30" s="2" t="s">
        <v>184</v>
      </c>
    </row>
    <row r="31" spans="1:4">
      <c r="A31" s="2">
        <v>31</v>
      </c>
      <c r="B31" s="2" t="s">
        <v>185</v>
      </c>
      <c r="C31" s="2" t="s">
        <v>186</v>
      </c>
      <c r="D31" s="2" t="s">
        <v>187</v>
      </c>
    </row>
    <row r="32" spans="1:4">
      <c r="A32" s="2">
        <v>27</v>
      </c>
      <c r="B32" s="2" t="s">
        <v>188</v>
      </c>
      <c r="C32" s="2" t="s">
        <v>189</v>
      </c>
      <c r="D32" s="2" t="s">
        <v>190</v>
      </c>
    </row>
    <row r="33" spans="1:4">
      <c r="A33" s="2">
        <v>31</v>
      </c>
      <c r="B33" s="2" t="s">
        <v>191</v>
      </c>
      <c r="C33" s="2" t="s">
        <v>192</v>
      </c>
      <c r="D33" s="2" t="s">
        <v>193</v>
      </c>
    </row>
    <row r="34" spans="1:4">
      <c r="A34" s="2">
        <v>31</v>
      </c>
      <c r="B34" s="2" t="s">
        <v>194</v>
      </c>
      <c r="C34" s="2" t="s">
        <v>195</v>
      </c>
      <c r="D34" s="2" t="s">
        <v>196</v>
      </c>
    </row>
    <row r="35" spans="1:4">
      <c r="A35" s="2">
        <v>31</v>
      </c>
      <c r="B35" s="2" t="s">
        <v>197</v>
      </c>
      <c r="C35" s="2" t="s">
        <v>198</v>
      </c>
      <c r="D35" s="2" t="s">
        <v>199</v>
      </c>
    </row>
    <row r="36" spans="1:4">
      <c r="A36" s="2">
        <v>31</v>
      </c>
      <c r="B36" s="2" t="s">
        <v>200</v>
      </c>
      <c r="C36" s="2" t="s">
        <v>201</v>
      </c>
      <c r="D36" s="2" t="s">
        <v>202</v>
      </c>
    </row>
    <row r="37" spans="1:4">
      <c r="A37" s="2">
        <v>31</v>
      </c>
      <c r="B37" s="2" t="s">
        <v>203</v>
      </c>
      <c r="C37" s="2" t="s">
        <v>204</v>
      </c>
      <c r="D37" s="2" t="s">
        <v>205</v>
      </c>
    </row>
    <row r="38" spans="1:4">
      <c r="A38" s="2">
        <v>31</v>
      </c>
      <c r="B38" s="2" t="s">
        <v>206</v>
      </c>
      <c r="C38" s="2" t="s">
        <v>207</v>
      </c>
      <c r="D38" s="2" t="s">
        <v>208</v>
      </c>
    </row>
    <row r="39" spans="1:4">
      <c r="A39" s="2">
        <v>31</v>
      </c>
      <c r="B39" s="2" t="s">
        <v>209</v>
      </c>
      <c r="C39" s="2" t="s">
        <v>210</v>
      </c>
      <c r="D39" s="2" t="s">
        <v>211</v>
      </c>
    </row>
    <row r="40" spans="1:4">
      <c r="A40" s="2">
        <v>31</v>
      </c>
      <c r="B40" s="2" t="s">
        <v>212</v>
      </c>
      <c r="C40" s="2" t="s">
        <v>213</v>
      </c>
      <c r="D40" s="2" t="s">
        <v>214</v>
      </c>
    </row>
    <row r="41" spans="1:4">
      <c r="A41" s="2">
        <v>31</v>
      </c>
      <c r="B41" s="2" t="s">
        <v>215</v>
      </c>
      <c r="C41" s="2" t="s">
        <v>216</v>
      </c>
      <c r="D41" s="2" t="s">
        <v>217</v>
      </c>
    </row>
    <row r="42" spans="1:4">
      <c r="A42" s="2">
        <v>31</v>
      </c>
      <c r="B42" s="2" t="s">
        <v>218</v>
      </c>
      <c r="C42" s="2" t="s">
        <v>219</v>
      </c>
      <c r="D42" s="2" t="s">
        <v>220</v>
      </c>
    </row>
    <row r="43" spans="1:4">
      <c r="A43" s="2">
        <v>31</v>
      </c>
      <c r="B43" s="2" t="s">
        <v>221</v>
      </c>
      <c r="C43" s="2" t="s">
        <v>222</v>
      </c>
      <c r="D43" s="2" t="s">
        <v>223</v>
      </c>
    </row>
    <row r="44" spans="1:4">
      <c r="A44" s="2">
        <v>31</v>
      </c>
      <c r="B44" s="2" t="s">
        <v>224</v>
      </c>
      <c r="C44" s="2" t="s">
        <v>225</v>
      </c>
      <c r="D44" s="2" t="s">
        <v>226</v>
      </c>
    </row>
    <row r="45" spans="1:4">
      <c r="A45" s="2">
        <v>31</v>
      </c>
      <c r="B45" s="2" t="s">
        <v>227</v>
      </c>
      <c r="C45" s="2" t="s">
        <v>228</v>
      </c>
      <c r="D45" s="2" t="s">
        <v>229</v>
      </c>
    </row>
    <row r="46" spans="1:4">
      <c r="A46" s="2">
        <v>31</v>
      </c>
      <c r="B46" s="2" t="s">
        <v>230</v>
      </c>
      <c r="C46" s="2" t="s">
        <v>231</v>
      </c>
      <c r="D46" s="2" t="s">
        <v>232</v>
      </c>
    </row>
    <row r="47" spans="1:4">
      <c r="A47" s="2">
        <v>31</v>
      </c>
      <c r="B47" s="2" t="s">
        <v>233</v>
      </c>
      <c r="C47" s="2" t="s">
        <v>234</v>
      </c>
      <c r="D47" s="2" t="s">
        <v>235</v>
      </c>
    </row>
    <row r="48" spans="1:4">
      <c r="A48" s="2">
        <v>31</v>
      </c>
      <c r="B48" s="2" t="s">
        <v>236</v>
      </c>
      <c r="C48" s="2" t="s">
        <v>237</v>
      </c>
      <c r="D48" s="2" t="s">
        <v>238</v>
      </c>
    </row>
    <row r="49" spans="1:4">
      <c r="A49" s="2">
        <v>31</v>
      </c>
      <c r="B49" s="2" t="s">
        <v>239</v>
      </c>
      <c r="C49" s="2" t="s">
        <v>240</v>
      </c>
      <c r="D49" s="2" t="s">
        <v>241</v>
      </c>
    </row>
    <row r="50" spans="1:4">
      <c r="A50" s="2">
        <v>32</v>
      </c>
      <c r="B50" s="2" t="s">
        <v>242</v>
      </c>
      <c r="C50" s="2" t="s">
        <v>243</v>
      </c>
      <c r="D50" s="2" t="s">
        <v>244</v>
      </c>
    </row>
    <row r="51" spans="1:4">
      <c r="A51" s="2">
        <v>31</v>
      </c>
      <c r="B51" s="2" t="s">
        <v>245</v>
      </c>
      <c r="C51" s="2" t="s">
        <v>246</v>
      </c>
      <c r="D51" s="2" t="s">
        <v>247</v>
      </c>
    </row>
    <row r="52" spans="1:4">
      <c r="A52" s="2">
        <v>39</v>
      </c>
      <c r="B52" s="2" t="s">
        <v>248</v>
      </c>
      <c r="C52" s="2" t="s">
        <v>249</v>
      </c>
      <c r="D52" s="2" t="s">
        <v>250</v>
      </c>
    </row>
    <row r="53" spans="1:4">
      <c r="A53" s="2">
        <v>39</v>
      </c>
      <c r="B53" s="2" t="s">
        <v>251</v>
      </c>
      <c r="C53" s="2" t="s">
        <v>252</v>
      </c>
      <c r="D53" s="2" t="s">
        <v>253</v>
      </c>
    </row>
    <row r="54" spans="1:4">
      <c r="A54" s="2">
        <v>31</v>
      </c>
      <c r="B54" s="2" t="s">
        <v>254</v>
      </c>
      <c r="C54" s="2" t="s">
        <v>255</v>
      </c>
      <c r="D54" s="2" t="s">
        <v>256</v>
      </c>
    </row>
    <row r="55" spans="1:4">
      <c r="A55" s="2">
        <v>31</v>
      </c>
      <c r="B55" s="2" t="s">
        <v>257</v>
      </c>
      <c r="C55" s="2" t="s">
        <v>258</v>
      </c>
      <c r="D55" s="2" t="s">
        <v>259</v>
      </c>
    </row>
    <row r="56" spans="1:4">
      <c r="A56" s="2">
        <v>31</v>
      </c>
      <c r="B56" s="2" t="s">
        <v>260</v>
      </c>
      <c r="C56" s="2" t="s">
        <v>261</v>
      </c>
      <c r="D56" s="2" t="s">
        <v>262</v>
      </c>
    </row>
    <row r="57" spans="1:4">
      <c r="A57" s="2">
        <v>31</v>
      </c>
      <c r="B57" s="2" t="s">
        <v>263</v>
      </c>
      <c r="C57" s="2" t="s">
        <v>264</v>
      </c>
      <c r="D57" s="2" t="s">
        <v>265</v>
      </c>
    </row>
    <row r="58" spans="1:4">
      <c r="A58" s="2">
        <v>31</v>
      </c>
      <c r="B58" s="2" t="s">
        <v>266</v>
      </c>
      <c r="C58" s="2" t="s">
        <v>267</v>
      </c>
      <c r="D58" s="2" t="s">
        <v>268</v>
      </c>
    </row>
    <row r="59" spans="1:4">
      <c r="A59" s="2">
        <v>66</v>
      </c>
      <c r="B59" s="2" t="s">
        <v>269</v>
      </c>
      <c r="C59" s="2" t="s">
        <v>270</v>
      </c>
      <c r="D59" s="2" t="s">
        <v>271</v>
      </c>
    </row>
    <row r="60" spans="1:4">
      <c r="A60" s="2">
        <v>31</v>
      </c>
      <c r="B60" s="2" t="s">
        <v>272</v>
      </c>
      <c r="C60" s="2" t="s">
        <v>273</v>
      </c>
      <c r="D60" s="2" t="s">
        <v>274</v>
      </c>
    </row>
    <row r="61" spans="1:4">
      <c r="A61" s="2">
        <v>31</v>
      </c>
      <c r="B61" s="2" t="s">
        <v>275</v>
      </c>
      <c r="C61" s="2" t="s">
        <v>276</v>
      </c>
      <c r="D61" s="2" t="s">
        <v>277</v>
      </c>
    </row>
    <row r="62" spans="1:4">
      <c r="A62" s="2">
        <v>31</v>
      </c>
      <c r="B62" s="2" t="s">
        <v>278</v>
      </c>
      <c r="C62" s="2" t="s">
        <v>279</v>
      </c>
      <c r="D62" s="2" t="s">
        <v>280</v>
      </c>
    </row>
    <row r="63" spans="1:4">
      <c r="A63" s="2">
        <v>31</v>
      </c>
      <c r="B63" s="2" t="s">
        <v>281</v>
      </c>
      <c r="C63" s="2" t="s">
        <v>282</v>
      </c>
      <c r="D63" s="2" t="s">
        <v>283</v>
      </c>
    </row>
    <row r="64" spans="1:4">
      <c r="A64" s="2">
        <v>31</v>
      </c>
      <c r="B64" s="2" t="s">
        <v>284</v>
      </c>
      <c r="C64" s="2" t="s">
        <v>285</v>
      </c>
      <c r="D64" s="2" t="s">
        <v>286</v>
      </c>
    </row>
    <row r="65" spans="1:4">
      <c r="A65" s="2">
        <v>31</v>
      </c>
      <c r="B65" s="2" t="s">
        <v>287</v>
      </c>
      <c r="C65" s="2" t="s">
        <v>288</v>
      </c>
      <c r="D65" s="2" t="s">
        <v>289</v>
      </c>
    </row>
    <row r="66" spans="1:4">
      <c r="A66" s="2">
        <v>31</v>
      </c>
      <c r="B66" s="2" t="s">
        <v>290</v>
      </c>
      <c r="C66" s="2" t="s">
        <v>291</v>
      </c>
      <c r="D66" s="2" t="s">
        <v>292</v>
      </c>
    </row>
    <row r="67" spans="1:4">
      <c r="A67" s="2">
        <v>31</v>
      </c>
      <c r="B67" s="2" t="s">
        <v>293</v>
      </c>
      <c r="C67" s="2" t="s">
        <v>294</v>
      </c>
      <c r="D67" s="2" t="s">
        <v>295</v>
      </c>
    </row>
    <row r="68" spans="1:4">
      <c r="A68" s="2">
        <v>31</v>
      </c>
      <c r="B68" s="2" t="s">
        <v>296</v>
      </c>
      <c r="C68" s="2" t="s">
        <v>297</v>
      </c>
      <c r="D68" s="2" t="s">
        <v>298</v>
      </c>
    </row>
    <row r="69" spans="1:4">
      <c r="A69" s="2">
        <v>31</v>
      </c>
      <c r="B69" s="2" t="s">
        <v>299</v>
      </c>
      <c r="C69" s="2" t="s">
        <v>300</v>
      </c>
      <c r="D69" s="2" t="s">
        <v>301</v>
      </c>
    </row>
    <row r="70" spans="1:4">
      <c r="A70" s="2">
        <v>31</v>
      </c>
      <c r="B70" s="2" t="s">
        <v>302</v>
      </c>
      <c r="C70" s="2" t="s">
        <v>303</v>
      </c>
      <c r="D70" s="2" t="s">
        <v>304</v>
      </c>
    </row>
    <row r="71" spans="1:4">
      <c r="A71" s="2">
        <v>31</v>
      </c>
      <c r="B71" s="2" t="s">
        <v>305</v>
      </c>
      <c r="C71" s="2" t="s">
        <v>306</v>
      </c>
      <c r="D71" s="2" t="s">
        <v>307</v>
      </c>
    </row>
    <row r="72" spans="1:4">
      <c r="A72" s="2">
        <v>31</v>
      </c>
      <c r="B72" s="2" t="s">
        <v>308</v>
      </c>
      <c r="C72" s="2" t="s">
        <v>309</v>
      </c>
      <c r="D72" s="2" t="s">
        <v>310</v>
      </c>
    </row>
    <row r="73" spans="1:4">
      <c r="A73" s="2">
        <v>31</v>
      </c>
      <c r="B73" s="2" t="s">
        <v>311</v>
      </c>
      <c r="C73" s="2" t="s">
        <v>312</v>
      </c>
      <c r="D73" s="2" t="s">
        <v>313</v>
      </c>
    </row>
    <row r="74" spans="1:4">
      <c r="A74" s="2">
        <v>31</v>
      </c>
      <c r="B74" s="2" t="s">
        <v>314</v>
      </c>
      <c r="C74" s="2" t="s">
        <v>315</v>
      </c>
      <c r="D74" s="2" t="s">
        <v>316</v>
      </c>
    </row>
    <row r="75" spans="1:4">
      <c r="A75" s="2">
        <v>31</v>
      </c>
      <c r="B75" s="2" t="s">
        <v>317</v>
      </c>
      <c r="C75" s="2" t="s">
        <v>318</v>
      </c>
      <c r="D75" s="2" t="s">
        <v>319</v>
      </c>
    </row>
    <row r="76" spans="1:4">
      <c r="A76" s="2">
        <v>31</v>
      </c>
      <c r="B76" s="2" t="s">
        <v>320</v>
      </c>
      <c r="C76" s="2" t="s">
        <v>321</v>
      </c>
      <c r="D76" s="2" t="s">
        <v>322</v>
      </c>
    </row>
    <row r="77" spans="1:4">
      <c r="A77" s="2">
        <v>31</v>
      </c>
      <c r="B77" s="2" t="s">
        <v>323</v>
      </c>
      <c r="C77" s="2" t="s">
        <v>324</v>
      </c>
      <c r="D77" s="2" t="s">
        <v>325</v>
      </c>
    </row>
    <row r="78" spans="1:4">
      <c r="A78" s="2">
        <v>42</v>
      </c>
      <c r="B78" s="2" t="s">
        <v>326</v>
      </c>
      <c r="C78" s="2" t="s">
        <v>327</v>
      </c>
      <c r="D78" s="2" t="s">
        <v>328</v>
      </c>
    </row>
    <row r="79" spans="1:4">
      <c r="A79" s="2">
        <v>42</v>
      </c>
      <c r="B79" s="2" t="s">
        <v>329</v>
      </c>
      <c r="C79" s="2" t="s">
        <v>330</v>
      </c>
      <c r="D79" s="2" t="s">
        <v>331</v>
      </c>
    </row>
    <row r="80" spans="1:4">
      <c r="A80" s="2">
        <v>42</v>
      </c>
      <c r="B80" s="2" t="s">
        <v>332</v>
      </c>
      <c r="C80" s="2" t="s">
        <v>333</v>
      </c>
      <c r="D80" s="2" t="s">
        <v>334</v>
      </c>
    </row>
    <row r="81" spans="1:4">
      <c r="A81" s="2">
        <v>31</v>
      </c>
      <c r="B81" s="2" t="s">
        <v>335</v>
      </c>
      <c r="C81" s="2" t="s">
        <v>336</v>
      </c>
      <c r="D81" s="2" t="s">
        <v>337</v>
      </c>
    </row>
    <row r="82" spans="1:4">
      <c r="A82" s="2">
        <v>18</v>
      </c>
      <c r="B82" s="2" t="s">
        <v>338</v>
      </c>
      <c r="C82" s="2" t="s">
        <v>339</v>
      </c>
      <c r="D82" s="2" t="s">
        <v>340</v>
      </c>
    </row>
    <row r="83" spans="1:4">
      <c r="A83" s="2">
        <v>31</v>
      </c>
      <c r="B83" s="2" t="s">
        <v>341</v>
      </c>
      <c r="C83" s="2" t="s">
        <v>342</v>
      </c>
      <c r="D83" s="2" t="s">
        <v>343</v>
      </c>
    </row>
    <row r="84" spans="1:4">
      <c r="A84" s="2">
        <v>31</v>
      </c>
      <c r="B84" s="2" t="s">
        <v>344</v>
      </c>
      <c r="C84" s="2" t="s">
        <v>345</v>
      </c>
      <c r="D84" s="2" t="s">
        <v>346</v>
      </c>
    </row>
    <row r="85" spans="1:4">
      <c r="A85" s="2">
        <v>31</v>
      </c>
      <c r="B85" s="2" t="s">
        <v>347</v>
      </c>
      <c r="C85" s="2" t="s">
        <v>348</v>
      </c>
      <c r="D85" s="2" t="s">
        <v>349</v>
      </c>
    </row>
    <row r="86" spans="1:4">
      <c r="A86" s="2">
        <v>31</v>
      </c>
      <c r="B86" s="2" t="s">
        <v>350</v>
      </c>
      <c r="C86" s="2" t="s">
        <v>351</v>
      </c>
      <c r="D86" s="2" t="s">
        <v>352</v>
      </c>
    </row>
    <row r="87" spans="1:4">
      <c r="A87" s="2">
        <v>31</v>
      </c>
      <c r="B87" s="2" t="s">
        <v>353</v>
      </c>
      <c r="C87" s="2" t="s">
        <v>354</v>
      </c>
      <c r="D87" s="2" t="s">
        <v>355</v>
      </c>
    </row>
    <row r="88" spans="1:4">
      <c r="A88" s="2">
        <v>31</v>
      </c>
      <c r="B88" s="2" t="s">
        <v>356</v>
      </c>
      <c r="C88" s="2" t="s">
        <v>357</v>
      </c>
      <c r="D88" s="2" t="s">
        <v>358</v>
      </c>
    </row>
    <row r="89" spans="1:4">
      <c r="A89" s="2" t="s">
        <v>97</v>
      </c>
      <c r="B89" s="2" t="s">
        <v>359</v>
      </c>
      <c r="C89" s="2" t="s">
        <v>360</v>
      </c>
      <c r="D89" s="2" t="s">
        <v>361</v>
      </c>
    </row>
    <row r="90" spans="1:4">
      <c r="A90" s="2" t="s">
        <v>97</v>
      </c>
      <c r="B90" s="2" t="s">
        <v>362</v>
      </c>
      <c r="C90" s="2" t="s">
        <v>363</v>
      </c>
      <c r="D90" s="2" t="s">
        <v>364</v>
      </c>
    </row>
    <row r="91" spans="1:4">
      <c r="A91" s="2" t="s">
        <v>97</v>
      </c>
      <c r="B91" s="2" t="s">
        <v>365</v>
      </c>
      <c r="C91" s="2" t="s">
        <v>366</v>
      </c>
      <c r="D91" s="2" t="s">
        <v>367</v>
      </c>
    </row>
    <row r="92" spans="1:4">
      <c r="A92" s="2">
        <v>31</v>
      </c>
      <c r="B92" s="2" t="s">
        <v>368</v>
      </c>
      <c r="C92" s="2" t="s">
        <v>369</v>
      </c>
      <c r="D92" s="2" t="s">
        <v>370</v>
      </c>
    </row>
    <row r="93" spans="1:4">
      <c r="A93" s="2">
        <v>18</v>
      </c>
      <c r="B93" s="2" t="s">
        <v>371</v>
      </c>
      <c r="C93" s="2" t="s">
        <v>372</v>
      </c>
      <c r="D93" s="2" t="s">
        <v>373</v>
      </c>
    </row>
    <row r="94" spans="1:4">
      <c r="A94" s="2">
        <v>18</v>
      </c>
      <c r="B94" s="2" t="s">
        <v>374</v>
      </c>
      <c r="C94" s="2" t="s">
        <v>375</v>
      </c>
      <c r="D94" s="2" t="s">
        <v>376</v>
      </c>
    </row>
    <row r="95" spans="1:4">
      <c r="A95" s="2">
        <v>18</v>
      </c>
      <c r="B95" s="2" t="s">
        <v>377</v>
      </c>
      <c r="C95" s="2" t="s">
        <v>378</v>
      </c>
      <c r="D95" s="2" t="s">
        <v>379</v>
      </c>
    </row>
    <row r="96" spans="1:4">
      <c r="A96" s="2">
        <v>18</v>
      </c>
      <c r="B96" s="2" t="s">
        <v>380</v>
      </c>
      <c r="C96" s="2" t="s">
        <v>381</v>
      </c>
      <c r="D96" s="2" t="s">
        <v>382</v>
      </c>
    </row>
    <row r="97" spans="1:4">
      <c r="A97" s="2">
        <v>18</v>
      </c>
      <c r="B97" s="2" t="s">
        <v>383</v>
      </c>
      <c r="C97" s="2" t="s">
        <v>384</v>
      </c>
      <c r="D97" s="2" t="s">
        <v>385</v>
      </c>
    </row>
    <row r="98" spans="1:4">
      <c r="A98" s="2">
        <v>18</v>
      </c>
      <c r="B98" s="2" t="s">
        <v>386</v>
      </c>
      <c r="C98" s="2" t="s">
        <v>387</v>
      </c>
      <c r="D98" s="2" t="s">
        <v>388</v>
      </c>
    </row>
    <row r="99" spans="1:4">
      <c r="A99" s="2">
        <v>18</v>
      </c>
      <c r="B99" s="2" t="s">
        <v>389</v>
      </c>
      <c r="C99" s="2" t="s">
        <v>390</v>
      </c>
      <c r="D99" s="2" t="s">
        <v>391</v>
      </c>
    </row>
    <row r="100" spans="1:4">
      <c r="A100" s="2">
        <v>89</v>
      </c>
      <c r="B100" s="2" t="s">
        <v>392</v>
      </c>
      <c r="C100" s="2" t="s">
        <v>393</v>
      </c>
      <c r="D100" s="2" t="s">
        <v>394</v>
      </c>
    </row>
    <row r="101" spans="1:4">
      <c r="A101" s="2">
        <v>89</v>
      </c>
      <c r="B101" s="2" t="s">
        <v>395</v>
      </c>
      <c r="C101" s="2" t="s">
        <v>396</v>
      </c>
      <c r="D101" s="2" t="s">
        <v>397</v>
      </c>
    </row>
    <row r="102" spans="1:4">
      <c r="A102" s="2">
        <v>89</v>
      </c>
      <c r="B102" s="2" t="s">
        <v>398</v>
      </c>
      <c r="C102" s="2" t="s">
        <v>399</v>
      </c>
      <c r="D102" s="2" t="s">
        <v>400</v>
      </c>
    </row>
    <row r="103" spans="1:4">
      <c r="A103" s="2">
        <v>89</v>
      </c>
      <c r="B103" s="2" t="s">
        <v>401</v>
      </c>
      <c r="C103" s="2" t="s">
        <v>402</v>
      </c>
      <c r="D103" s="2" t="s">
        <v>403</v>
      </c>
    </row>
    <row r="104" spans="1:4">
      <c r="A104" s="2">
        <v>59</v>
      </c>
      <c r="B104" s="2" t="s">
        <v>404</v>
      </c>
      <c r="C104" s="2" t="s">
        <v>405</v>
      </c>
      <c r="D104" s="2" t="s">
        <v>406</v>
      </c>
    </row>
    <row r="105" spans="1:4">
      <c r="A105" s="2" t="s">
        <v>97</v>
      </c>
      <c r="B105" s="2" t="s">
        <v>407</v>
      </c>
      <c r="C105" s="2" t="s">
        <v>408</v>
      </c>
      <c r="D105" s="2" t="s">
        <v>409</v>
      </c>
    </row>
    <row r="106" spans="1:4">
      <c r="A106" s="2" t="s">
        <v>97</v>
      </c>
      <c r="B106" s="2" t="s">
        <v>410</v>
      </c>
      <c r="C106" s="2" t="s">
        <v>411</v>
      </c>
      <c r="D106" s="2" t="s">
        <v>412</v>
      </c>
    </row>
    <row r="107" spans="1:4">
      <c r="A107" s="2">
        <v>31</v>
      </c>
      <c r="B107" s="2" t="s">
        <v>413</v>
      </c>
      <c r="C107" s="2" t="s">
        <v>414</v>
      </c>
      <c r="D107" s="2" t="s">
        <v>415</v>
      </c>
    </row>
    <row r="108" spans="1:4">
      <c r="A108" s="2">
        <v>31</v>
      </c>
      <c r="B108" s="2" t="s">
        <v>416</v>
      </c>
      <c r="C108" s="2" t="s">
        <v>417</v>
      </c>
      <c r="D108" s="2" t="s">
        <v>418</v>
      </c>
    </row>
    <row r="109" spans="1:4">
      <c r="A109" s="2">
        <v>31</v>
      </c>
      <c r="B109" s="2" t="s">
        <v>419</v>
      </c>
      <c r="C109" s="2" t="s">
        <v>420</v>
      </c>
      <c r="D109" s="2" t="s">
        <v>421</v>
      </c>
    </row>
    <row r="110" spans="1:4">
      <c r="A110" s="2">
        <v>31</v>
      </c>
      <c r="B110" s="2" t="s">
        <v>422</v>
      </c>
      <c r="C110" s="2" t="s">
        <v>423</v>
      </c>
      <c r="D110" s="2" t="s">
        <v>424</v>
      </c>
    </row>
    <row r="111" spans="1:4">
      <c r="A111" s="2">
        <v>31</v>
      </c>
      <c r="B111" s="2" t="s">
        <v>425</v>
      </c>
      <c r="C111" s="2" t="s">
        <v>426</v>
      </c>
      <c r="D111" s="2" t="s">
        <v>427</v>
      </c>
    </row>
    <row r="112" spans="1:4">
      <c r="A112" s="2">
        <v>31</v>
      </c>
      <c r="B112" s="2" t="s">
        <v>75</v>
      </c>
      <c r="C112" s="2" t="s">
        <v>428</v>
      </c>
      <c r="D112" s="2" t="s">
        <v>429</v>
      </c>
    </row>
    <row r="113" spans="1:4">
      <c r="A113" s="2">
        <v>31</v>
      </c>
      <c r="B113" s="2" t="s">
        <v>430</v>
      </c>
      <c r="C113" s="2" t="s">
        <v>431</v>
      </c>
      <c r="D113" s="2" t="s">
        <v>432</v>
      </c>
    </row>
    <row r="114" spans="1:4">
      <c r="A114" s="2">
        <v>31</v>
      </c>
      <c r="B114" s="2" t="s">
        <v>433</v>
      </c>
      <c r="C114" s="2" t="s">
        <v>434</v>
      </c>
      <c r="D114" s="2" t="s">
        <v>435</v>
      </c>
    </row>
    <row r="115" spans="1:4">
      <c r="A115" s="2">
        <v>56</v>
      </c>
      <c r="B115" s="2" t="s">
        <v>436</v>
      </c>
      <c r="C115" s="2" t="s">
        <v>437</v>
      </c>
      <c r="D115" s="2" t="s">
        <v>438</v>
      </c>
    </row>
    <row r="116" spans="1:4">
      <c r="A116" s="2">
        <v>31</v>
      </c>
      <c r="B116" s="2" t="s">
        <v>439</v>
      </c>
      <c r="C116" s="2" t="s">
        <v>440</v>
      </c>
      <c r="D116" s="2" t="s">
        <v>441</v>
      </c>
    </row>
    <row r="117" spans="1:4">
      <c r="A117" s="2">
        <v>31</v>
      </c>
      <c r="B117" s="2" t="s">
        <v>442</v>
      </c>
      <c r="C117" s="2" t="s">
        <v>443</v>
      </c>
      <c r="D117" s="2" t="s">
        <v>444</v>
      </c>
    </row>
    <row r="118" spans="1:4">
      <c r="A118" s="2">
        <v>31</v>
      </c>
      <c r="B118" s="2" t="s">
        <v>445</v>
      </c>
      <c r="C118" s="2" t="s">
        <v>446</v>
      </c>
      <c r="D118" s="2" t="s">
        <v>447</v>
      </c>
    </row>
    <row r="119" spans="1:4">
      <c r="A119" s="2">
        <v>31</v>
      </c>
      <c r="B119" s="2" t="s">
        <v>448</v>
      </c>
      <c r="C119" s="2" t="s">
        <v>449</v>
      </c>
      <c r="D119" s="2" t="s">
        <v>450</v>
      </c>
    </row>
    <row r="120" spans="1:4">
      <c r="A120" s="2">
        <v>31</v>
      </c>
      <c r="B120" s="2" t="s">
        <v>451</v>
      </c>
      <c r="C120" s="2" t="s">
        <v>452</v>
      </c>
      <c r="D120" s="2" t="s">
        <v>453</v>
      </c>
    </row>
    <row r="121" spans="1:4">
      <c r="A121" s="2">
        <v>19</v>
      </c>
      <c r="B121" s="2" t="s">
        <v>454</v>
      </c>
      <c r="C121" s="2" t="s">
        <v>455</v>
      </c>
      <c r="D121" s="2" t="s">
        <v>456</v>
      </c>
    </row>
    <row r="122" spans="1:4">
      <c r="A122" s="2">
        <v>31</v>
      </c>
      <c r="B122" s="2" t="s">
        <v>457</v>
      </c>
      <c r="C122" s="2" t="s">
        <v>458</v>
      </c>
      <c r="D122" s="2" t="s">
        <v>459</v>
      </c>
    </row>
    <row r="123" spans="1:4">
      <c r="A123" s="2">
        <v>27</v>
      </c>
      <c r="B123" s="2" t="s">
        <v>460</v>
      </c>
      <c r="C123" s="2" t="s">
        <v>461</v>
      </c>
      <c r="D123" s="2" t="s">
        <v>462</v>
      </c>
    </row>
    <row r="124" spans="1:4">
      <c r="A124" s="2">
        <v>31</v>
      </c>
      <c r="B124" s="2" t="s">
        <v>463</v>
      </c>
      <c r="C124" s="2" t="s">
        <v>464</v>
      </c>
      <c r="D124" s="2" t="s">
        <v>465</v>
      </c>
    </row>
    <row r="125" spans="1:4">
      <c r="A125" s="2">
        <v>31</v>
      </c>
      <c r="B125" s="2" t="s">
        <v>466</v>
      </c>
      <c r="C125" s="2" t="s">
        <v>467</v>
      </c>
      <c r="D125" s="2" t="s">
        <v>468</v>
      </c>
    </row>
    <row r="126" spans="1:4">
      <c r="A126" s="2">
        <v>31</v>
      </c>
      <c r="B126" s="2" t="s">
        <v>469</v>
      </c>
      <c r="C126" s="2" t="s">
        <v>470</v>
      </c>
      <c r="D126" s="2" t="s">
        <v>471</v>
      </c>
    </row>
    <row r="127" spans="1:4">
      <c r="A127" s="2">
        <v>31</v>
      </c>
      <c r="B127" s="2" t="s">
        <v>472</v>
      </c>
      <c r="C127" s="2" t="s">
        <v>473</v>
      </c>
      <c r="D127" s="2" t="s">
        <v>474</v>
      </c>
    </row>
    <row r="128" spans="1:4">
      <c r="A128" s="2">
        <v>93</v>
      </c>
      <c r="B128" s="2" t="s">
        <v>475</v>
      </c>
      <c r="C128" s="2" t="s">
        <v>476</v>
      </c>
      <c r="D128" s="2" t="s">
        <v>477</v>
      </c>
    </row>
    <row r="129" spans="1:4">
      <c r="A129" s="2">
        <v>31</v>
      </c>
      <c r="B129" s="2" t="s">
        <v>478</v>
      </c>
      <c r="C129" s="2" t="s">
        <v>479</v>
      </c>
      <c r="D129" s="2" t="s">
        <v>480</v>
      </c>
    </row>
    <row r="130" spans="1:4">
      <c r="A130" s="2" t="s">
        <v>481</v>
      </c>
      <c r="B130" s="2" t="s">
        <v>482</v>
      </c>
      <c r="C130" s="2" t="s">
        <v>483</v>
      </c>
      <c r="D130" s="2" t="s">
        <v>484</v>
      </c>
    </row>
    <row r="131" spans="1:4">
      <c r="A131" s="2">
        <v>31</v>
      </c>
      <c r="B131" s="2" t="s">
        <v>485</v>
      </c>
      <c r="C131" s="2" t="s">
        <v>486</v>
      </c>
      <c r="D131" s="2" t="s">
        <v>487</v>
      </c>
    </row>
    <row r="132" spans="1:4">
      <c r="A132" s="2">
        <v>99</v>
      </c>
      <c r="B132" s="2" t="s">
        <v>488</v>
      </c>
      <c r="C132" s="2" t="s">
        <v>489</v>
      </c>
      <c r="D132" s="2" t="s">
        <v>490</v>
      </c>
    </row>
    <row r="133" spans="1:4">
      <c r="A133" s="2">
        <v>31</v>
      </c>
      <c r="B133" s="2" t="s">
        <v>491</v>
      </c>
      <c r="C133" s="2" t="s">
        <v>492</v>
      </c>
      <c r="D133" s="2" t="s">
        <v>493</v>
      </c>
    </row>
    <row r="134" spans="1:4">
      <c r="A134" s="2">
        <v>31</v>
      </c>
      <c r="B134" s="2" t="s">
        <v>494</v>
      </c>
      <c r="C134" s="2" t="s">
        <v>495</v>
      </c>
      <c r="D134" s="2" t="s">
        <v>496</v>
      </c>
    </row>
    <row r="135" spans="1:4">
      <c r="A135" s="2">
        <v>31</v>
      </c>
      <c r="B135" s="2" t="s">
        <v>497</v>
      </c>
      <c r="C135" s="2" t="s">
        <v>498</v>
      </c>
      <c r="D135" s="2" t="s">
        <v>499</v>
      </c>
    </row>
    <row r="136" spans="1:4">
      <c r="A136" s="2">
        <v>31</v>
      </c>
      <c r="B136" s="2" t="s">
        <v>500</v>
      </c>
      <c r="C136" s="2" t="s">
        <v>501</v>
      </c>
      <c r="D136" s="2" t="s">
        <v>502</v>
      </c>
    </row>
    <row r="137" spans="1:4">
      <c r="A137" s="2">
        <v>31</v>
      </c>
      <c r="B137" s="2" t="s">
        <v>503</v>
      </c>
      <c r="C137" s="2" t="s">
        <v>504</v>
      </c>
      <c r="D137" s="2" t="s">
        <v>505</v>
      </c>
    </row>
    <row r="138" spans="1:4">
      <c r="A138" s="2">
        <v>31</v>
      </c>
      <c r="B138" s="2" t="s">
        <v>506</v>
      </c>
      <c r="C138" s="2" t="s">
        <v>507</v>
      </c>
      <c r="D138" s="2" t="s">
        <v>508</v>
      </c>
    </row>
    <row r="139" spans="1:4">
      <c r="A139" s="2">
        <v>31</v>
      </c>
      <c r="B139" s="2" t="s">
        <v>509</v>
      </c>
      <c r="C139" s="2" t="s">
        <v>510</v>
      </c>
      <c r="D139" s="2" t="s">
        <v>511</v>
      </c>
    </row>
    <row r="140" spans="1:4">
      <c r="A140" s="2">
        <v>31</v>
      </c>
      <c r="B140" s="2" t="s">
        <v>512</v>
      </c>
      <c r="C140" s="2" t="s">
        <v>513</v>
      </c>
      <c r="D140" s="2" t="s">
        <v>514</v>
      </c>
    </row>
    <row r="141" spans="1:4">
      <c r="A141" s="2">
        <v>102</v>
      </c>
      <c r="B141" s="2" t="s">
        <v>515</v>
      </c>
      <c r="C141" s="2" t="s">
        <v>516</v>
      </c>
      <c r="D141" s="2" t="s">
        <v>517</v>
      </c>
    </row>
    <row r="142" spans="1:4">
      <c r="A142" s="2">
        <v>31</v>
      </c>
      <c r="B142" s="2" t="s">
        <v>518</v>
      </c>
      <c r="C142" s="2" t="s">
        <v>519</v>
      </c>
      <c r="D142" s="2" t="s">
        <v>520</v>
      </c>
    </row>
    <row r="143" spans="1:4">
      <c r="A143" s="2">
        <v>128</v>
      </c>
      <c r="B143" s="2" t="s">
        <v>521</v>
      </c>
      <c r="C143" s="2" t="s">
        <v>522</v>
      </c>
      <c r="D143" s="2" t="s">
        <v>523</v>
      </c>
    </row>
    <row r="144" spans="1:4">
      <c r="A144" s="2">
        <v>31</v>
      </c>
      <c r="B144" s="2" t="s">
        <v>524</v>
      </c>
      <c r="C144" s="2" t="s">
        <v>525</v>
      </c>
      <c r="D144" s="2" t="s">
        <v>525</v>
      </c>
    </row>
    <row r="145" spans="1:4">
      <c r="A145" s="2">
        <v>31</v>
      </c>
      <c r="B145" s="2" t="s">
        <v>526</v>
      </c>
      <c r="C145" s="2" t="s">
        <v>527</v>
      </c>
      <c r="D145" s="2" t="s">
        <v>527</v>
      </c>
    </row>
    <row r="146" spans="1:4">
      <c r="A146" s="2">
        <v>31</v>
      </c>
      <c r="B146" s="2" t="s">
        <v>528</v>
      </c>
      <c r="C146" s="2" t="s">
        <v>529</v>
      </c>
      <c r="D146" s="2" t="s">
        <v>529</v>
      </c>
    </row>
    <row r="147" spans="1:4">
      <c r="A147" s="2">
        <v>31</v>
      </c>
      <c r="B147" s="2" t="s">
        <v>530</v>
      </c>
      <c r="C147" s="2" t="s">
        <v>531</v>
      </c>
      <c r="D147" s="2" t="s">
        <v>532</v>
      </c>
    </row>
    <row r="148" spans="1:4">
      <c r="A148" s="2">
        <v>31</v>
      </c>
      <c r="B148" s="2" t="s">
        <v>533</v>
      </c>
      <c r="C148" s="2" t="s">
        <v>534</v>
      </c>
      <c r="D148" s="2" t="s">
        <v>535</v>
      </c>
    </row>
    <row r="149" spans="1:4">
      <c r="A149" s="2">
        <v>31</v>
      </c>
      <c r="B149" s="2" t="s">
        <v>536</v>
      </c>
      <c r="C149" s="2" t="s">
        <v>537</v>
      </c>
      <c r="D149" s="2" t="s">
        <v>537</v>
      </c>
    </row>
    <row r="150" spans="1:4">
      <c r="A150" s="2">
        <v>31</v>
      </c>
      <c r="B150" s="2" t="s">
        <v>538</v>
      </c>
      <c r="C150" s="2" t="s">
        <v>539</v>
      </c>
      <c r="D150" s="2" t="s">
        <v>540</v>
      </c>
    </row>
    <row r="151" spans="1:4">
      <c r="A151" s="2">
        <v>31</v>
      </c>
      <c r="B151" s="2" t="s">
        <v>541</v>
      </c>
      <c r="C151" s="2" t="s">
        <v>542</v>
      </c>
      <c r="D151" s="2" t="s">
        <v>543</v>
      </c>
    </row>
    <row r="152" spans="1:4">
      <c r="A152" s="2">
        <v>31</v>
      </c>
      <c r="B152" s="2" t="s">
        <v>544</v>
      </c>
      <c r="C152" s="2" t="s">
        <v>545</v>
      </c>
      <c r="D152" s="2" t="s">
        <v>546</v>
      </c>
    </row>
    <row r="153" spans="1:4">
      <c r="A153" s="2">
        <v>31</v>
      </c>
      <c r="B153" s="2" t="s">
        <v>547</v>
      </c>
      <c r="C153" s="2" t="s">
        <v>548</v>
      </c>
      <c r="D153" s="2" t="s">
        <v>548</v>
      </c>
    </row>
    <row r="154" spans="1:4">
      <c r="A154" s="2">
        <v>31</v>
      </c>
      <c r="B154" s="2" t="s">
        <v>549</v>
      </c>
      <c r="C154" s="2" t="s">
        <v>550</v>
      </c>
      <c r="D154" s="2" t="s">
        <v>551</v>
      </c>
    </row>
    <row r="155" spans="1:4">
      <c r="A155" s="2">
        <v>31</v>
      </c>
      <c r="B155" s="2" t="s">
        <v>552</v>
      </c>
      <c r="C155" s="2" t="s">
        <v>553</v>
      </c>
      <c r="D155" s="2" t="s">
        <v>554</v>
      </c>
    </row>
    <row r="156" spans="1:4">
      <c r="A156" s="2">
        <v>31</v>
      </c>
      <c r="B156" s="2" t="s">
        <v>555</v>
      </c>
      <c r="C156" s="2" t="s">
        <v>556</v>
      </c>
      <c r="D156" s="2" t="s">
        <v>557</v>
      </c>
    </row>
    <row r="157" spans="1:4">
      <c r="A157" s="2">
        <v>31</v>
      </c>
      <c r="B157" s="2" t="s">
        <v>558</v>
      </c>
      <c r="C157" s="2" t="s">
        <v>559</v>
      </c>
      <c r="D157" s="2" t="s">
        <v>559</v>
      </c>
    </row>
    <row r="158" spans="1:4">
      <c r="A158" s="2">
        <v>31</v>
      </c>
      <c r="B158" s="2" t="s">
        <v>560</v>
      </c>
      <c r="C158" s="2" t="s">
        <v>561</v>
      </c>
      <c r="D158" s="2" t="s">
        <v>562</v>
      </c>
    </row>
    <row r="159" spans="1:4">
      <c r="A159" s="2">
        <v>26</v>
      </c>
      <c r="B159" s="2" t="s">
        <v>563</v>
      </c>
      <c r="C159" s="2" t="s">
        <v>564</v>
      </c>
      <c r="D159" s="2" t="s">
        <v>564</v>
      </c>
    </row>
    <row r="160" spans="1:4">
      <c r="A160" s="2">
        <v>31</v>
      </c>
      <c r="B160" s="2" t="s">
        <v>565</v>
      </c>
      <c r="C160" s="2" t="s">
        <v>566</v>
      </c>
      <c r="D160" s="2" t="s">
        <v>566</v>
      </c>
    </row>
    <row r="161" spans="1:4">
      <c r="A161" s="2">
        <v>31</v>
      </c>
      <c r="B161" s="2" t="s">
        <v>567</v>
      </c>
      <c r="C161" s="2" t="s">
        <v>568</v>
      </c>
      <c r="D161" s="2" t="s">
        <v>569</v>
      </c>
    </row>
    <row r="162" spans="1:4">
      <c r="A162" s="2">
        <v>31</v>
      </c>
      <c r="B162" s="2" t="s">
        <v>570</v>
      </c>
      <c r="C162" s="2" t="s">
        <v>571</v>
      </c>
      <c r="D162" s="2" t="s">
        <v>572</v>
      </c>
    </row>
    <row r="163" spans="1:4">
      <c r="A163" s="2">
        <v>148</v>
      </c>
      <c r="B163" s="2" t="s">
        <v>573</v>
      </c>
      <c r="C163" s="2" t="s">
        <v>574</v>
      </c>
      <c r="D163" s="2" t="s">
        <v>575</v>
      </c>
    </row>
    <row r="164" spans="1:4">
      <c r="A164" s="2">
        <v>31</v>
      </c>
      <c r="B164" s="2" t="s">
        <v>576</v>
      </c>
      <c r="C164" s="2" t="s">
        <v>577</v>
      </c>
      <c r="D164" s="2" t="s">
        <v>578</v>
      </c>
    </row>
    <row r="165" spans="1:4">
      <c r="A165" s="2">
        <v>149</v>
      </c>
      <c r="B165" s="2" t="s">
        <v>579</v>
      </c>
      <c r="C165" s="2" t="s">
        <v>580</v>
      </c>
      <c r="D165" s="2" t="s">
        <v>581</v>
      </c>
    </row>
    <row r="166" spans="1:4">
      <c r="A166" s="2">
        <v>31</v>
      </c>
      <c r="B166" s="2" t="s">
        <v>582</v>
      </c>
      <c r="C166" s="2" t="s">
        <v>583</v>
      </c>
      <c r="D166" s="2" t="s">
        <v>584</v>
      </c>
    </row>
    <row r="167" spans="1:4">
      <c r="A167" s="2">
        <v>31</v>
      </c>
      <c r="B167" s="2" t="s">
        <v>585</v>
      </c>
      <c r="C167" s="2" t="s">
        <v>586</v>
      </c>
      <c r="D167" s="2" t="s">
        <v>587</v>
      </c>
    </row>
    <row r="168" spans="1:4">
      <c r="A168" s="2">
        <v>150</v>
      </c>
      <c r="B168" s="2" t="s">
        <v>588</v>
      </c>
      <c r="C168" s="2" t="s">
        <v>589</v>
      </c>
      <c r="D168" s="2" t="s">
        <v>589</v>
      </c>
    </row>
    <row r="169" spans="1:4">
      <c r="A169" s="2">
        <v>31</v>
      </c>
      <c r="B169" s="2" t="s">
        <v>590</v>
      </c>
      <c r="C169" s="2" t="s">
        <v>591</v>
      </c>
      <c r="D169" s="2" t="s">
        <v>592</v>
      </c>
    </row>
    <row r="170" spans="1:4">
      <c r="A170" s="2">
        <v>31</v>
      </c>
      <c r="B170" s="2" t="s">
        <v>593</v>
      </c>
      <c r="C170" s="2" t="s">
        <v>594</v>
      </c>
      <c r="D170" s="2" t="s">
        <v>595</v>
      </c>
    </row>
    <row r="171" spans="1:4">
      <c r="A171" s="2">
        <v>31</v>
      </c>
      <c r="B171" s="2" t="s">
        <v>596</v>
      </c>
      <c r="C171" s="2" t="s">
        <v>597</v>
      </c>
      <c r="D171" s="2" t="s">
        <v>598</v>
      </c>
    </row>
    <row r="172" spans="1:4">
      <c r="A172" s="2">
        <v>31</v>
      </c>
      <c r="B172" s="2" t="s">
        <v>599</v>
      </c>
      <c r="C172" s="2" t="s">
        <v>600</v>
      </c>
      <c r="D172" s="2" t="s">
        <v>600</v>
      </c>
    </row>
    <row r="173" spans="1:4">
      <c r="A173" s="2">
        <v>31</v>
      </c>
      <c r="B173" s="2" t="s">
        <v>601</v>
      </c>
      <c r="C173" s="2" t="s">
        <v>602</v>
      </c>
      <c r="D173" s="2" t="s">
        <v>603</v>
      </c>
    </row>
    <row r="174" spans="1:4">
      <c r="A174" s="2">
        <v>31</v>
      </c>
      <c r="B174" s="2" t="s">
        <v>604</v>
      </c>
      <c r="C174" s="2" t="s">
        <v>605</v>
      </c>
      <c r="D174" s="2" t="s">
        <v>606</v>
      </c>
    </row>
    <row r="175" spans="1:4">
      <c r="A175" s="2">
        <v>31</v>
      </c>
      <c r="B175" s="2" t="s">
        <v>607</v>
      </c>
      <c r="C175" s="2" t="s">
        <v>608</v>
      </c>
      <c r="D175" s="2" t="s">
        <v>608</v>
      </c>
    </row>
    <row r="176" spans="1:4">
      <c r="A176" s="2">
        <v>31</v>
      </c>
      <c r="B176" s="2" t="s">
        <v>609</v>
      </c>
      <c r="C176" s="2" t="s">
        <v>610</v>
      </c>
      <c r="D176" s="2" t="s">
        <v>610</v>
      </c>
    </row>
    <row r="177" spans="1:4">
      <c r="A177" s="2">
        <v>31</v>
      </c>
      <c r="B177" s="2" t="s">
        <v>611</v>
      </c>
      <c r="C177" s="2" t="s">
        <v>612</v>
      </c>
      <c r="D177" s="2" t="s">
        <v>612</v>
      </c>
    </row>
    <row r="178" spans="1:4">
      <c r="A178" s="2">
        <v>31</v>
      </c>
      <c r="B178" s="2" t="s">
        <v>613</v>
      </c>
      <c r="C178" s="2" t="s">
        <v>614</v>
      </c>
      <c r="D178" s="2" t="s">
        <v>614</v>
      </c>
    </row>
    <row r="179" spans="1:4">
      <c r="A179" s="2">
        <v>31</v>
      </c>
      <c r="B179" s="2" t="s">
        <v>615</v>
      </c>
      <c r="C179" s="2" t="s">
        <v>616</v>
      </c>
      <c r="D179" s="2" t="s">
        <v>616</v>
      </c>
    </row>
    <row r="180" spans="1:4">
      <c r="A180" s="2">
        <v>31</v>
      </c>
      <c r="B180" s="2" t="s">
        <v>617</v>
      </c>
      <c r="C180" s="2" t="s">
        <v>618</v>
      </c>
      <c r="D180" s="2" t="s">
        <v>618</v>
      </c>
    </row>
    <row r="181" spans="1:4">
      <c r="A181" s="2">
        <v>31</v>
      </c>
      <c r="B181" s="2" t="s">
        <v>619</v>
      </c>
      <c r="C181" s="2" t="s">
        <v>620</v>
      </c>
      <c r="D181" s="2" t="s">
        <v>621</v>
      </c>
    </row>
    <row r="182" spans="1:4">
      <c r="A182" s="2">
        <v>31</v>
      </c>
      <c r="B182" s="2" t="s">
        <v>622</v>
      </c>
      <c r="C182" s="2" t="s">
        <v>623</v>
      </c>
      <c r="D182" s="2" t="s">
        <v>623</v>
      </c>
    </row>
    <row r="183" spans="1:4">
      <c r="A183" s="2">
        <v>31</v>
      </c>
      <c r="B183" s="2" t="s">
        <v>624</v>
      </c>
      <c r="C183" s="2" t="s">
        <v>625</v>
      </c>
      <c r="D183" s="2" t="s">
        <v>626</v>
      </c>
    </row>
    <row r="184" spans="1:4">
      <c r="A184" s="2">
        <v>31</v>
      </c>
      <c r="B184" s="2" t="s">
        <v>627</v>
      </c>
      <c r="C184" s="2" t="s">
        <v>628</v>
      </c>
      <c r="D184" s="2" t="s">
        <v>629</v>
      </c>
    </row>
    <row r="185" spans="1:4">
      <c r="A185" s="2">
        <v>34</v>
      </c>
      <c r="B185" s="2" t="s">
        <v>630</v>
      </c>
      <c r="C185" s="2" t="s">
        <v>631</v>
      </c>
      <c r="D185" s="2" t="s">
        <v>632</v>
      </c>
    </row>
    <row r="186" spans="1:4">
      <c r="A186" s="2">
        <v>34</v>
      </c>
      <c r="B186" s="2" t="s">
        <v>633</v>
      </c>
      <c r="C186" s="2" t="s">
        <v>634</v>
      </c>
      <c r="D186" s="2" t="s">
        <v>635</v>
      </c>
    </row>
    <row r="187" spans="1:4">
      <c r="A187" s="2">
        <v>34</v>
      </c>
      <c r="B187" s="2" t="s">
        <v>636</v>
      </c>
      <c r="C187" s="2" t="s">
        <v>637</v>
      </c>
      <c r="D187" s="2" t="s">
        <v>638</v>
      </c>
    </row>
    <row r="188" spans="1:4">
      <c r="A188" s="2">
        <v>31</v>
      </c>
      <c r="B188" s="2" t="s">
        <v>639</v>
      </c>
      <c r="C188" s="2" t="s">
        <v>640</v>
      </c>
      <c r="D188" s="2" t="s">
        <v>641</v>
      </c>
    </row>
    <row r="189" spans="1:4">
      <c r="A189" s="2">
        <v>31</v>
      </c>
      <c r="B189" s="2" t="s">
        <v>642</v>
      </c>
      <c r="C189" s="2" t="s">
        <v>643</v>
      </c>
      <c r="D189" s="2" t="s">
        <v>644</v>
      </c>
    </row>
    <row r="190" spans="1:4">
      <c r="A190" s="2">
        <v>31</v>
      </c>
      <c r="B190" s="2" t="s">
        <v>645</v>
      </c>
      <c r="C190" s="2" t="s">
        <v>646</v>
      </c>
      <c r="D190" s="2" t="s">
        <v>647</v>
      </c>
    </row>
    <row r="191" spans="1:4">
      <c r="A191" s="2">
        <v>31</v>
      </c>
      <c r="B191" s="2" t="s">
        <v>648</v>
      </c>
      <c r="C191" s="2" t="s">
        <v>649</v>
      </c>
      <c r="D191" s="2" t="s">
        <v>650</v>
      </c>
    </row>
    <row r="192" spans="1:4">
      <c r="A192" s="2">
        <v>31</v>
      </c>
      <c r="B192" s="2" t="s">
        <v>651</v>
      </c>
      <c r="C192" s="2" t="s">
        <v>652</v>
      </c>
      <c r="D192" s="2" t="s">
        <v>653</v>
      </c>
    </row>
    <row r="193" spans="1:4">
      <c r="A193" s="2">
        <v>31</v>
      </c>
      <c r="B193" s="2" t="s">
        <v>654</v>
      </c>
      <c r="C193" s="2" t="s">
        <v>655</v>
      </c>
      <c r="D193" s="2" t="s">
        <v>655</v>
      </c>
    </row>
    <row r="194" spans="1:4">
      <c r="A194" s="2">
        <v>169</v>
      </c>
      <c r="B194" s="2" t="s">
        <v>656</v>
      </c>
      <c r="C194" s="2" t="s">
        <v>657</v>
      </c>
      <c r="D194" s="2" t="s">
        <v>658</v>
      </c>
    </row>
    <row r="195" spans="1:4">
      <c r="A195" s="2">
        <v>31</v>
      </c>
      <c r="B195" s="2" t="s">
        <v>659</v>
      </c>
      <c r="C195" s="2" t="s">
        <v>660</v>
      </c>
      <c r="D195" s="2" t="s">
        <v>661</v>
      </c>
    </row>
    <row r="196" spans="1:4">
      <c r="A196" s="2">
        <v>31</v>
      </c>
      <c r="B196" s="2" t="s">
        <v>662</v>
      </c>
      <c r="C196" s="2" t="s">
        <v>663</v>
      </c>
      <c r="D196" s="2" t="s">
        <v>664</v>
      </c>
    </row>
    <row r="197" spans="1:4">
      <c r="A197" s="2" t="s">
        <v>97</v>
      </c>
      <c r="B197" s="2" t="s">
        <v>665</v>
      </c>
      <c r="C197" s="2" t="s">
        <v>666</v>
      </c>
      <c r="D197" s="2" t="s">
        <v>667</v>
      </c>
    </row>
    <row r="198" spans="1:4">
      <c r="A198" s="2" t="s">
        <v>97</v>
      </c>
      <c r="B198" s="2" t="s">
        <v>668</v>
      </c>
      <c r="C198" s="2" t="s">
        <v>669</v>
      </c>
      <c r="D198" s="2" t="s">
        <v>670</v>
      </c>
    </row>
    <row r="199" spans="1:4">
      <c r="A199" s="2" t="s">
        <v>97</v>
      </c>
      <c r="B199" s="2" t="s">
        <v>671</v>
      </c>
      <c r="C199" s="2" t="s">
        <v>672</v>
      </c>
      <c r="D199" s="2" t="s">
        <v>673</v>
      </c>
    </row>
    <row r="200" spans="1:4">
      <c r="A200" s="2" t="s">
        <v>97</v>
      </c>
      <c r="B200" s="2" t="s">
        <v>674</v>
      </c>
      <c r="C200" s="2" t="s">
        <v>675</v>
      </c>
      <c r="D200" s="2" t="s">
        <v>676</v>
      </c>
    </row>
    <row r="201" spans="1:4">
      <c r="A201" s="2" t="s">
        <v>97</v>
      </c>
      <c r="B201" s="2" t="s">
        <v>677</v>
      </c>
      <c r="C201" s="2" t="s">
        <v>678</v>
      </c>
      <c r="D201" s="2" t="s">
        <v>679</v>
      </c>
    </row>
    <row r="202" spans="1:4">
      <c r="A202" s="2" t="s">
        <v>97</v>
      </c>
      <c r="B202" s="2" t="s">
        <v>680</v>
      </c>
      <c r="C202" s="2" t="s">
        <v>681</v>
      </c>
      <c r="D202" s="2" t="s">
        <v>682</v>
      </c>
    </row>
    <row r="203" spans="1:4">
      <c r="A203" s="2">
        <v>31</v>
      </c>
      <c r="B203" s="2" t="s">
        <v>683</v>
      </c>
      <c r="C203" s="2" t="s">
        <v>684</v>
      </c>
      <c r="D203" s="2" t="s">
        <v>685</v>
      </c>
    </row>
    <row r="204" spans="1:4">
      <c r="A204" s="2" t="s">
        <v>97</v>
      </c>
      <c r="B204" s="2" t="s">
        <v>686</v>
      </c>
      <c r="C204" s="2" t="s">
        <v>687</v>
      </c>
      <c r="D204" s="2" t="s">
        <v>688</v>
      </c>
    </row>
    <row r="205" spans="1:4">
      <c r="A205" s="2" t="s">
        <v>97</v>
      </c>
      <c r="B205" s="2" t="s">
        <v>689</v>
      </c>
      <c r="C205" s="2" t="s">
        <v>690</v>
      </c>
      <c r="D205" s="2" t="s">
        <v>690</v>
      </c>
    </row>
    <row r="206" spans="1:4">
      <c r="A206" s="2" t="s">
        <v>97</v>
      </c>
      <c r="B206" s="2" t="s">
        <v>691</v>
      </c>
      <c r="C206" s="2" t="s">
        <v>692</v>
      </c>
      <c r="D206" s="2" t="s">
        <v>693</v>
      </c>
    </row>
    <row r="207" spans="1:4">
      <c r="A207" s="2">
        <v>31</v>
      </c>
      <c r="B207" s="2" t="s">
        <v>694</v>
      </c>
      <c r="C207" s="2" t="s">
        <v>695</v>
      </c>
      <c r="D207" s="2" t="s">
        <v>696</v>
      </c>
    </row>
    <row r="208" spans="1:4">
      <c r="A208" s="2">
        <v>31</v>
      </c>
      <c r="B208" s="2" t="s">
        <v>697</v>
      </c>
      <c r="C208" s="2" t="s">
        <v>698</v>
      </c>
      <c r="D208" s="2" t="s">
        <v>699</v>
      </c>
    </row>
    <row r="209" spans="1:4">
      <c r="A209" s="2" t="s">
        <v>97</v>
      </c>
      <c r="B209" s="2" t="s">
        <v>700</v>
      </c>
      <c r="C209" s="2" t="s">
        <v>701</v>
      </c>
      <c r="D209" s="2" t="s">
        <v>702</v>
      </c>
    </row>
    <row r="210" spans="1:4">
      <c r="A210" s="2">
        <v>31</v>
      </c>
      <c r="B210" s="2" t="s">
        <v>703</v>
      </c>
      <c r="C210" s="2" t="s">
        <v>704</v>
      </c>
      <c r="D210" s="2" t="s">
        <v>705</v>
      </c>
    </row>
    <row r="211" spans="1:4">
      <c r="A211" s="2">
        <v>31</v>
      </c>
      <c r="B211" s="2" t="s">
        <v>706</v>
      </c>
      <c r="C211" s="2" t="s">
        <v>704</v>
      </c>
      <c r="D211" s="2" t="s">
        <v>707</v>
      </c>
    </row>
    <row r="212" spans="1:4">
      <c r="A212" s="2" t="s">
        <v>97</v>
      </c>
      <c r="B212" s="2" t="s">
        <v>708</v>
      </c>
      <c r="C212" s="2" t="s">
        <v>709</v>
      </c>
      <c r="D212" s="2" t="s">
        <v>710</v>
      </c>
    </row>
  </sheetData>
  <sheetProtection algorithmName="SHA-512" hashValue="dLIY2rm/wSAhGkMvZtvguUkB4/E7/cFc5znptlWg4pu5WQdRB1wVqsGsKYf+kS6V0hh0wVit0BqvXUFDIGeJQw==" saltValue="J/0ZEJCEnpr4uVr5NoLzg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 master="" otherUserPermission="visible"/>
  <rangeList sheetStid="2" master="" otherUserPermission="visible"/>
  <rangeList sheetStid="6" master="" otherUserPermission="visible"/>
  <rangeList sheetStid="3"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PREMISAS DE LLENADO</vt:lpstr>
      <vt:lpstr>TIPO_GASTO</vt:lpstr>
      <vt:lpstr>PENALIDADES</vt:lpstr>
      <vt:lpstr>INFORME_CAJA_CHICA</vt:lpstr>
      <vt:lpstr>CENTRO_COSTOS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DORIS</dc:creator>
  <cp:lastModifiedBy>contabilidaduio2025@hotmail.com</cp:lastModifiedBy>
  <cp:lastPrinted>2026-02-03T23:28:00Z</cp:lastPrinted>
  <dcterms:created xsi:type="dcterms:W3CDTF">2020-12-30T16:41:00Z</dcterms:created>
  <dcterms:modified xsi:type="dcterms:W3CDTF">2026-07-15T17:20:28Z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AF72EE08511249D69843700575F0AE18_13</vt:lpwstr>
  </property>
  <property fmtid="{D5CDD505-2E9C-101B-9397-08002B2CF9AE}" pid="3" name="KSOProductBuildVer">
    <vt:lpwstr>2058-12.2.0.23155</vt:lpwstr>
  </property>
</Properties>
</file>